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Project Artifact\"/>
    </mc:Choice>
  </mc:AlternateContent>
  <bookViews>
    <workbookView xWindow="0" yWindow="0" windowWidth="16815" windowHeight="7620" tabRatio="775" activeTab="3"/>
  </bookViews>
  <sheets>
    <sheet name="Product Backlog" sheetId="52" r:id="rId1"/>
    <sheet name="Sprint Backlog" sheetId="48" r:id="rId2"/>
    <sheet name="Stand up Meeting" sheetId="50" r:id="rId3"/>
    <sheet name="Retrospection" sheetId="3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62913"/>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 i="48" l="1"/>
  <c r="V3" i="48"/>
  <c r="U3" i="48"/>
  <c r="T3" i="48"/>
  <c r="S3" i="48"/>
  <c r="K3" i="48"/>
  <c r="N3" i="48"/>
  <c r="O3" i="48"/>
  <c r="P3" i="48"/>
  <c r="Q3" i="48"/>
  <c r="R3" i="48"/>
  <c r="M3" i="48"/>
  <c r="I3" i="48"/>
  <c r="J3" i="48"/>
  <c r="L3" i="48"/>
</calcChain>
</file>

<file path=xl/comments1.xml><?xml version="1.0" encoding="utf-8"?>
<comments xmlns="http://schemas.openxmlformats.org/spreadsheetml/2006/main">
  <authors>
    <author>Sumeet Kumar Barua08</author>
  </authors>
  <commentList>
    <comment ref="F1" authorId="0" shapeId="0">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authors>
    <author>Sumeet Kumar Barua08</author>
  </authors>
  <commentList>
    <comment ref="D2" authorId="0" shapeId="0">
      <text>
        <r>
          <rPr>
            <sz val="9"/>
            <color indexed="81"/>
            <rFont val="Tahoma"/>
            <family val="2"/>
          </rPr>
          <t>Please enter the dates in either of these formats: 
9/15/2016  or
15-Sep-2016</t>
        </r>
      </text>
    </comment>
    <comment ref="E2" authorId="0" shapeId="0">
      <text>
        <r>
          <rPr>
            <sz val="9"/>
            <color indexed="81"/>
            <rFont val="Tahoma"/>
            <family val="2"/>
          </rPr>
          <t xml:space="preserve">Please enter the dates in either of these formats: 
9/15/2016  or
15-Sep-2016
</t>
        </r>
      </text>
    </comment>
    <comment ref="I3" authorId="0" shapeId="0">
      <text>
        <r>
          <rPr>
            <sz val="9"/>
            <color indexed="81"/>
            <rFont val="Tahoma"/>
            <family val="2"/>
          </rPr>
          <t xml:space="preserve">This is the total task estimated in hours for all the user stories </t>
        </r>
      </text>
    </comment>
    <comment ref="J3" authorId="0" shapeId="0">
      <text>
        <r>
          <rPr>
            <sz val="9"/>
            <color indexed="81"/>
            <rFont val="Tahoma"/>
            <family val="2"/>
          </rPr>
          <t xml:space="preserve">Pending effort hours after completion of day 1 work
</t>
        </r>
      </text>
    </comment>
    <comment ref="K3" authorId="0" shapeId="0">
      <text>
        <r>
          <rPr>
            <sz val="9"/>
            <color indexed="81"/>
            <rFont val="Tahoma"/>
            <family val="2"/>
          </rPr>
          <t>Pending effort hours after completion of day 2 work</t>
        </r>
      </text>
    </comment>
    <comment ref="L3" authorId="0" shapeId="0">
      <text>
        <r>
          <rPr>
            <sz val="9"/>
            <color indexed="81"/>
            <rFont val="Tahoma"/>
            <family val="2"/>
          </rPr>
          <t>Pending effort hours after completion of day 3 work</t>
        </r>
      </text>
    </comment>
    <comment ref="M3" authorId="0" shapeId="0">
      <text>
        <r>
          <rPr>
            <sz val="9"/>
            <color indexed="81"/>
            <rFont val="Tahoma"/>
            <family val="2"/>
          </rPr>
          <t>Pending effort hours after completion of day 4 work</t>
        </r>
        <r>
          <rPr>
            <sz val="9"/>
            <color indexed="81"/>
            <rFont val="Tahoma"/>
            <family val="2"/>
          </rPr>
          <t xml:space="preserve">
</t>
        </r>
      </text>
    </comment>
    <comment ref="N3" authorId="0" shapeId="0">
      <text>
        <r>
          <rPr>
            <sz val="9"/>
            <color indexed="81"/>
            <rFont val="Tahoma"/>
            <family val="2"/>
          </rPr>
          <t xml:space="preserve">Pending effort hours after completion of day 5 work
</t>
        </r>
      </text>
    </comment>
    <comment ref="O3" authorId="0" shapeId="0">
      <text>
        <r>
          <rPr>
            <sz val="9"/>
            <color indexed="81"/>
            <rFont val="Tahoma"/>
            <family val="2"/>
          </rPr>
          <t xml:space="preserve">Pending effort hours after completion of day 6 work
</t>
        </r>
      </text>
    </comment>
    <comment ref="P3" authorId="0" shapeId="0">
      <text>
        <r>
          <rPr>
            <sz val="9"/>
            <color indexed="81"/>
            <rFont val="Tahoma"/>
            <family val="2"/>
          </rPr>
          <t>Pending effort hours after completion of day 7 work</t>
        </r>
      </text>
    </comment>
    <comment ref="Q3" authorId="0" shapeId="0">
      <text>
        <r>
          <rPr>
            <sz val="9"/>
            <color indexed="81"/>
            <rFont val="Tahoma"/>
            <family val="2"/>
          </rPr>
          <t xml:space="preserve">Pending effort hours after completion of day 8 work
</t>
        </r>
      </text>
    </comment>
    <comment ref="R3" authorId="0" shapeId="0">
      <text>
        <r>
          <rPr>
            <sz val="9"/>
            <color indexed="81"/>
            <rFont val="Tahoma"/>
            <family val="2"/>
          </rPr>
          <t xml:space="preserve">Pending effort hours after completion of day 9 work
</t>
        </r>
      </text>
    </comment>
    <comment ref="S3" authorId="0" shapeId="0">
      <text>
        <r>
          <rPr>
            <sz val="9"/>
            <color indexed="81"/>
            <rFont val="Tahoma"/>
            <family val="2"/>
          </rPr>
          <t xml:space="preserve">Pending effort hours after completion of day 10 work
</t>
        </r>
      </text>
    </comment>
    <comment ref="T3" authorId="0" shapeId="0">
      <text>
        <r>
          <rPr>
            <sz val="9"/>
            <color indexed="81"/>
            <rFont val="Tahoma"/>
            <family val="2"/>
          </rPr>
          <t xml:space="preserve">Pending effort hours after completion of day 11 work
</t>
        </r>
      </text>
    </comment>
    <comment ref="U3" authorId="0" shapeId="0">
      <text>
        <r>
          <rPr>
            <sz val="9"/>
            <color indexed="81"/>
            <rFont val="Tahoma"/>
            <family val="2"/>
          </rPr>
          <t xml:space="preserve">Pending effort hours after completion of day 12 work
</t>
        </r>
      </text>
    </comment>
    <comment ref="V3" authorId="0" shapeId="0">
      <text>
        <r>
          <rPr>
            <sz val="9"/>
            <color indexed="81"/>
            <rFont val="Tahoma"/>
            <family val="2"/>
          </rPr>
          <t xml:space="preserve">Pending effort hours after completion of day 13 work
</t>
        </r>
      </text>
    </comment>
    <comment ref="W3" authorId="0" shapeId="0">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<sst xmlns="http://schemas.openxmlformats.org/spreadsheetml/2006/main" count="315" uniqueCount="147">
  <si>
    <t>Planned Sprint</t>
  </si>
  <si>
    <t>Actual Sprint</t>
  </si>
  <si>
    <t>US ID</t>
  </si>
  <si>
    <t>User Story Description</t>
  </si>
  <si>
    <t>MOSCOW</t>
  </si>
  <si>
    <t>Dependency</t>
  </si>
  <si>
    <t>Assignee</t>
  </si>
  <si>
    <t>Status</t>
  </si>
  <si>
    <t>S1</t>
  </si>
  <si>
    <t>US-01</t>
  </si>
  <si>
    <t>Introduction to Computer Vision and Basic of CNN and OCR</t>
  </si>
  <si>
    <t>MUST HAVE</t>
  </si>
  <si>
    <t>Basic Tutorial and Documentation</t>
  </si>
  <si>
    <t>3- Completed</t>
  </si>
  <si>
    <t>US-02</t>
  </si>
  <si>
    <t>YOLO Model training for vehicle detection</t>
  </si>
  <si>
    <t>COULD HAVE</t>
  </si>
  <si>
    <t>Python Libraries (Tesseract, Easy OCR, Pytesseract, Open CV, Ultralytics), Datasets</t>
  </si>
  <si>
    <t>S2</t>
  </si>
  <si>
    <t>US-03</t>
  </si>
  <si>
    <t>YOLO Pre-Trained Model, Dataset(vehicle image), Python Libraries(Ultralytics, NumPy, Opencv)</t>
  </si>
  <si>
    <t>US-04</t>
  </si>
  <si>
    <t>YOLO Pre-Trained Model, Dataset, Python Libraries(Ultralytics, Tesseract, Easy OCR, Open CV), OCR Outputs</t>
  </si>
  <si>
    <t>S3</t>
  </si>
  <si>
    <t>Implementing ANPR for license plate detection</t>
  </si>
  <si>
    <t>Implementing ANPR for license plate reading and recognition</t>
  </si>
  <si>
    <t>Python Libraries (OpenCV, YOLO, Tesseract, NumPy), Video Input Sources (Pre-Recorded Videos), GPU</t>
  </si>
  <si>
    <t>S4</t>
  </si>
  <si>
    <t>US-07</t>
  </si>
  <si>
    <t>Implementiong ATCC for vehile counting</t>
  </si>
  <si>
    <t>Integrated ANPR + ATCC Outputs, Traffic Flow Data, Optimization Algorithms, Video-processing pipeline</t>
  </si>
  <si>
    <t>US-08</t>
  </si>
  <si>
    <t>Implementing ATCC for vehicle classification</t>
  </si>
  <si>
    <t>Outputs from ANPR System (License Plate Data), Outputs from ATCC Module (Vehicle Count, Type), Python Modules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</si>
  <si>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</si>
  <si>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</si>
  <si>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</si>
  <si>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</si>
  <si>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</si>
  <si>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</si>
  <si>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</si>
  <si>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</si>
  <si>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</si>
  <si>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</si>
  <si>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</si>
  <si>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</si>
  <si>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</si>
  <si>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</si>
  <si>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</si>
  <si>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</si>
  <si>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</si>
  <si>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</si>
  <si>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</si>
  <si>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</si>
  <si>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</si>
  <si>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</si>
  <si>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</si>
  <si>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Introduction to Computer Vision principle and application</t>
  </si>
  <si>
    <t>Others</t>
  </si>
  <si>
    <t>Introduction to CNN and OCR</t>
  </si>
  <si>
    <t xml:space="preserve">Collection of dataset for YOLO Model </t>
  </si>
  <si>
    <t xml:space="preserve">Training of YOLO model </t>
  </si>
  <si>
    <t>Build</t>
  </si>
  <si>
    <t>SPRINT  2  BACKLOG</t>
  </si>
  <si>
    <t>Coding</t>
  </si>
  <si>
    <t>Detecting vehicles in a traffic video</t>
  </si>
  <si>
    <t>Annotation of vehicle in a traffic video</t>
  </si>
  <si>
    <t>Classification and Counting vehicle in a traffic video</t>
  </si>
  <si>
    <t>SPRINT  3  BACKLOG</t>
  </si>
  <si>
    <t>Number plate characters reading</t>
  </si>
  <si>
    <t>Croping and saving number plates</t>
  </si>
  <si>
    <t>Image sharpening</t>
  </si>
  <si>
    <t>Detecting and Reading Number plates</t>
  </si>
  <si>
    <t>SPRINT  4  BACKLOG</t>
  </si>
  <si>
    <t xml:space="preserve">Implementing ATCC for classification of vehicles </t>
  </si>
  <si>
    <t>Interpolation of Data</t>
  </si>
  <si>
    <t>Adding missing Data</t>
  </si>
  <si>
    <t xml:space="preserve">Counting of Vehicles </t>
  </si>
  <si>
    <t xml:space="preserve">Sprint </t>
  </si>
  <si>
    <t>Day</t>
  </si>
  <si>
    <t>Impediments</t>
  </si>
  <si>
    <t>Action Taken</t>
  </si>
  <si>
    <t>ANPR revision</t>
  </si>
  <si>
    <t>ANPR doubts</t>
  </si>
  <si>
    <t>Day 23</t>
  </si>
  <si>
    <t xml:space="preserve">Internship articaft Document </t>
  </si>
  <si>
    <t>Day 34</t>
  </si>
  <si>
    <t>Agile document doubts</t>
  </si>
  <si>
    <t>Doubt session conducted where all doubts about agile document were clarrified by mentor</t>
  </si>
  <si>
    <t>SL #</t>
  </si>
  <si>
    <t>Sprint #</t>
  </si>
  <si>
    <t>Sprint start date</t>
  </si>
  <si>
    <t>Sprint end date</t>
  </si>
  <si>
    <t xml:space="preserve">Team member name </t>
  </si>
  <si>
    <t>Start Doing</t>
  </si>
  <si>
    <t xml:space="preserve">Stop Doing </t>
  </si>
  <si>
    <t xml:space="preserve">Continue Doing </t>
  </si>
  <si>
    <t>Action taken</t>
  </si>
  <si>
    <t xml:space="preserve"> -</t>
  </si>
  <si>
    <t>Stopped working on YOLO Model training</t>
  </si>
  <si>
    <t>Implemented ANPR for images using pre-trained YOLO Model</t>
  </si>
  <si>
    <t>Stopped working on image detection</t>
  </si>
  <si>
    <t>Detection and Annotation of vehicle using pre-trained YOLO Model</t>
  </si>
  <si>
    <t>Implemented ANPR for license plate detection</t>
  </si>
  <si>
    <t>Stopped working on annotation and detection</t>
  </si>
  <si>
    <t>Read the data of Number plate</t>
  </si>
  <si>
    <t>Created Logic for Counting of vehicles in a pre-recorded Traffic video</t>
  </si>
  <si>
    <t>Implemented ATCC for Classification of vehicle(e.g. car, bus, truck) in a pre-recorded Traffic video</t>
  </si>
  <si>
    <t>Anirudh</t>
  </si>
  <si>
    <t xml:space="preserve">
Intoduction To Text Extraction, Text Recognizer</t>
  </si>
  <si>
    <t>Python Libraries[OpenCV, OCR, Easy Ocr, Tesseract, Ultralytics,etc..] &amp; Various Yolo Models</t>
  </si>
  <si>
    <t>Processing for Image processing from the Pre-Trained Images</t>
  </si>
  <si>
    <t>Processing for Image processing from the Pre-Trained Video</t>
  </si>
  <si>
    <t>Extracting Text From Them To Detected licence Number Plates</t>
  </si>
  <si>
    <t>Reading &amp; Capturing Of The Frames In The Video &amp; Annotate It To Detect The Vechicles In It By Different Formats Like Cars, Buses, Trucks, etc..</t>
  </si>
  <si>
    <t>Day 19</t>
  </si>
  <si>
    <t>Day 21</t>
  </si>
  <si>
    <t>SHOULD HAVE</t>
  </si>
  <si>
    <t>Implementing for vehicle classification</t>
  </si>
  <si>
    <t xml:space="preserve">Integration  ANPR and ATCC models </t>
  </si>
  <si>
    <t xml:space="preserve">Data interpolation </t>
  </si>
  <si>
    <t>Introduction Text Extraction and recogniser</t>
  </si>
  <si>
    <t xml:space="preserve">Detecting and license plate from object </t>
  </si>
  <si>
    <t>Annotation of Number Plate in a traffic video</t>
  </si>
  <si>
    <t xml:space="preserve">Revision session Class </t>
  </si>
  <si>
    <t>Doubt session where all doubts &amp; issue resolve by mentor</t>
  </si>
  <si>
    <t>Project articaft information provided by mentor</t>
  </si>
  <si>
    <t>Learning Basic on computer vision &amp; CNN</t>
  </si>
  <si>
    <t>Collection of Datasets</t>
  </si>
  <si>
    <t>Implementing ANPR for image detection using pre-trained YOLO Model</t>
  </si>
  <si>
    <t>Implementing ANPR for video detection using pre-trained YOLO Model</t>
  </si>
  <si>
    <t>Implementing ANPR for  license plate detection using pre-trained YOLO Model</t>
  </si>
  <si>
    <t xml:space="preserve">working on reading the data of number plate </t>
  </si>
  <si>
    <t>working on classification of vehicles</t>
  </si>
  <si>
    <t>working on counting of vehicles</t>
  </si>
  <si>
    <t>Stopped working on classification &amp; ATCC</t>
  </si>
  <si>
    <t xml:space="preserve">Stopped working on ANPR </t>
  </si>
  <si>
    <t>learning the basics required thing for the project ( Like important python libraries)</t>
  </si>
  <si>
    <t>learning Deep learning essentials thing which are needed</t>
  </si>
  <si>
    <t>Vehicle detection by using pre-trained YOLO Model</t>
  </si>
  <si>
    <t>Vehicle detection and annotation of vehicles licence plate by using pre-trained YOLO Model</t>
  </si>
  <si>
    <t>Detecting vehicles</t>
  </si>
  <si>
    <t xml:space="preserve">Extracting number plate from video frames and use filteration for better result </t>
  </si>
  <si>
    <t>Data Interpolation and adding missing data</t>
  </si>
  <si>
    <t>Working on counting of vehicles in a traffic video</t>
  </si>
  <si>
    <t>Learn basic of CNN and OCR &amp; OpenCV</t>
  </si>
  <si>
    <t>Collected online datasets for YOLO Model training for detection &amp; vehicle training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</si>
</sst>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9]d\-mmm\-yy;@"/>
  </numFmts>
  <fonts count="17"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10"/>
      <name val="Arial"/>
      <family val="2"/>
    </font>
    <font>
      <sz val="11"/>
      <name val="Arial"/>
      <family val="2"/>
    </font>
    <font>
      <b/>
      <sz val="8"/>
      <color theme="1"/>
      <name val="Arial"/>
      <family val="2"/>
    </font>
    <font>
      <b/>
      <sz val="12"/>
      <color theme="1"/>
      <name val="Arial"/>
      <family val="2"/>
    </font>
    <font>
      <sz val="10"/>
      <color rgb="FF000000"/>
      <name val="Arial"/>
      <charset val="1"/>
    </font>
    <font>
      <sz val="12"/>
      <name val="Arial"/>
      <family val="2"/>
    </font>
    <font>
      <sz val="13"/>
      <name val="Arial"/>
      <family val="2"/>
    </font>
    <font>
      <sz val="13"/>
      <name val="Calibri"/>
      <family val="2"/>
      <scheme val="minor"/>
    </font>
    <font>
      <b/>
      <sz val="11"/>
      <color theme="1"/>
      <name val="Arial"/>
      <family val="2"/>
    </font>
    <font>
      <b/>
      <sz val="11"/>
      <color indexed="9"/>
      <name val="Arial"/>
      <family val="2"/>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
      <left/>
      <right/>
      <top/>
      <bottom style="thin">
        <color rgb="FF000000"/>
      </bottom>
      <diagonal/>
    </border>
  </borders>
  <cellStyleXfs count="6">
    <xf numFmtId="0" fontId="0" fillId="0" borderId="0"/>
    <xf numFmtId="0" fontId="3" fillId="0" borderId="0"/>
    <xf numFmtId="0" fontId="3" fillId="0" borderId="0"/>
    <xf numFmtId="0" fontId="7" fillId="0" borderId="0"/>
    <xf numFmtId="0" fontId="3" fillId="0" borderId="0"/>
    <xf numFmtId="0" fontId="3" fillId="0" borderId="0"/>
  </cellStyleXfs>
  <cellXfs count="75">
    <xf numFmtId="0" fontId="0" fillId="0" borderId="0" xfId="0"/>
    <xf numFmtId="0" fontId="3" fillId="0" borderId="0" xfId="0" applyFont="1"/>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3" fillId="0" borderId="1" xfId="0" applyFont="1" applyFill="1" applyBorder="1" applyAlignment="1">
      <alignment horizontal="center" vertical="center"/>
    </xf>
    <xf numFmtId="0" fontId="3" fillId="0" borderId="0" xfId="0" applyFont="1" applyFill="1"/>
    <xf numFmtId="0" fontId="3" fillId="0" borderId="1" xfId="0" applyFont="1" applyFill="1" applyBorder="1"/>
    <xf numFmtId="0" fontId="6" fillId="0" borderId="0" xfId="0" applyFont="1"/>
    <xf numFmtId="0" fontId="0" fillId="0" borderId="1" xfId="0" applyBorder="1" applyAlignment="1">
      <alignment horizontal="left"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0" xfId="0" applyFont="1" applyBorder="1" applyAlignment="1" applyProtection="1">
      <alignment horizontal="center" vertical="center"/>
      <protection locked="0"/>
    </xf>
    <xf numFmtId="0" fontId="3" fillId="0" borderId="5" xfId="0" applyFont="1" applyFill="1" applyBorder="1" applyAlignment="1" applyProtection="1">
      <alignment horizontal="center" vertical="center" wrapText="1"/>
      <protection locked="0"/>
    </xf>
    <xf numFmtId="15" fontId="3" fillId="0" borderId="0" xfId="0" applyNumberFormat="1" applyFont="1" applyBorder="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2" fillId="2" borderId="1"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9" fillId="5" borderId="7" xfId="0" applyFont="1" applyFill="1" applyBorder="1" applyAlignment="1" applyProtection="1">
      <alignment horizontal="center" vertical="center" wrapText="1"/>
    </xf>
    <xf numFmtId="0" fontId="9" fillId="5" borderId="1" xfId="0" applyFont="1" applyFill="1" applyBorder="1" applyAlignment="1" applyProtection="1">
      <alignment horizontal="center" vertical="center" wrapText="1"/>
    </xf>
    <xf numFmtId="0" fontId="3" fillId="6" borderId="8" xfId="0" applyFont="1" applyFill="1" applyBorder="1" applyAlignment="1" applyProtection="1">
      <alignment vertical="center"/>
    </xf>
    <xf numFmtId="0" fontId="3" fillId="6" borderId="0" xfId="0" applyFont="1" applyFill="1" applyBorder="1" applyAlignment="1" applyProtection="1">
      <alignment vertical="center"/>
    </xf>
    <xf numFmtId="0" fontId="3" fillId="6" borderId="9" xfId="0" applyFont="1" applyFill="1" applyBorder="1" applyAlignment="1" applyProtection="1">
      <alignment vertical="center"/>
    </xf>
    <xf numFmtId="0" fontId="9" fillId="7" borderId="6" xfId="0" applyFont="1" applyFill="1" applyBorder="1" applyAlignment="1" applyProtection="1">
      <alignment horizontal="center" vertical="center" wrapText="1"/>
    </xf>
    <xf numFmtId="14" fontId="3" fillId="0" borderId="1" xfId="0" applyNumberFormat="1" applyFont="1" applyFill="1" applyBorder="1" applyAlignment="1">
      <alignment horizontal="center" vertical="center"/>
    </xf>
    <xf numFmtId="0" fontId="0" fillId="0" borderId="0" xfId="0" applyAlignment="1">
      <alignment vertical="center"/>
    </xf>
    <xf numFmtId="0" fontId="10" fillId="3" borderId="1" xfId="0" applyFont="1" applyFill="1" applyBorder="1" applyAlignment="1">
      <alignment horizontal="center" vertical="center" textRotation="90" wrapText="1"/>
    </xf>
    <xf numFmtId="0" fontId="10" fillId="3" borderId="6" xfId="0" applyFont="1" applyFill="1" applyBorder="1" applyAlignment="1">
      <alignment horizontal="center" vertical="center" wrapText="1"/>
    </xf>
    <xf numFmtId="0" fontId="12" fillId="0" borderId="0" xfId="0" applyFont="1"/>
    <xf numFmtId="0" fontId="13" fillId="0" borderId="1" xfId="0" applyFont="1" applyFill="1" applyBorder="1" applyAlignment="1">
      <alignment horizontal="center" vertical="center" wrapText="1"/>
    </xf>
    <xf numFmtId="0" fontId="13" fillId="0" borderId="1" xfId="0" applyFont="1" applyBorder="1" applyAlignment="1">
      <alignment vertical="center"/>
    </xf>
    <xf numFmtId="0" fontId="14" fillId="0" borderId="10" xfId="0" applyFont="1" applyFill="1" applyBorder="1" applyAlignment="1">
      <alignment horizontal="left" vertical="center"/>
    </xf>
    <xf numFmtId="0" fontId="13" fillId="0" borderId="1" xfId="0" applyFont="1" applyBorder="1" applyAlignment="1">
      <alignment horizontal="center" vertical="center" wrapText="1"/>
    </xf>
    <xf numFmtId="0" fontId="13" fillId="0" borderId="0" xfId="0" applyFont="1"/>
    <xf numFmtId="0" fontId="14" fillId="0" borderId="1" xfId="0" applyFont="1" applyBorder="1" applyAlignment="1">
      <alignment horizontal="left" vertical="center"/>
    </xf>
    <xf numFmtId="0" fontId="14" fillId="0" borderId="1" xfId="0" applyFont="1" applyBorder="1" applyAlignment="1">
      <alignment horizontal="left" vertical="center" wrapText="1"/>
    </xf>
    <xf numFmtId="0" fontId="9" fillId="5" borderId="6" xfId="0" applyFont="1" applyFill="1" applyBorder="1" applyAlignment="1" applyProtection="1">
      <alignment horizontal="center" vertical="center" wrapText="1"/>
    </xf>
    <xf numFmtId="0" fontId="9" fillId="5" borderId="10" xfId="0" applyFont="1" applyFill="1" applyBorder="1" applyAlignment="1" applyProtection="1">
      <alignment horizontal="center" vertical="center" wrapText="1"/>
    </xf>
    <xf numFmtId="0" fontId="9" fillId="5" borderId="11" xfId="0" applyFont="1" applyFill="1" applyBorder="1" applyAlignment="1" applyProtection="1">
      <alignment horizontal="center" vertical="center" wrapText="1"/>
    </xf>
    <xf numFmtId="0" fontId="9" fillId="5" borderId="12" xfId="0" applyFont="1" applyFill="1" applyBorder="1" applyAlignment="1" applyProtection="1">
      <alignment horizontal="center" vertical="center" wrapText="1"/>
    </xf>
    <xf numFmtId="49" fontId="9" fillId="5" borderId="13" xfId="0" applyNumberFormat="1" applyFont="1" applyFill="1" applyBorder="1" applyAlignment="1" applyProtection="1">
      <alignment horizontal="center" vertical="center" wrapText="1"/>
    </xf>
    <xf numFmtId="49" fontId="9" fillId="5" borderId="14" xfId="0" applyNumberFormat="1" applyFont="1" applyFill="1" applyBorder="1" applyAlignment="1" applyProtection="1">
      <alignment horizontal="center" vertical="center" wrapText="1"/>
    </xf>
    <xf numFmtId="0" fontId="10" fillId="8" borderId="1" xfId="0" applyFont="1" applyFill="1" applyBorder="1" applyAlignment="1" applyProtection="1">
      <alignment horizontal="center" vertical="center" wrapText="1"/>
    </xf>
    <xf numFmtId="164" fontId="9" fillId="5" borderId="6" xfId="0" applyNumberFormat="1" applyFont="1" applyFill="1" applyBorder="1" applyAlignment="1" applyProtection="1">
      <alignment horizontal="center" vertical="center" wrapText="1"/>
    </xf>
    <xf numFmtId="164" fontId="9" fillId="5" borderId="10" xfId="0" applyNumberFormat="1" applyFont="1" applyFill="1" applyBorder="1" applyAlignment="1" applyProtection="1">
      <alignment horizontal="center" vertical="center" wrapText="1"/>
    </xf>
    <xf numFmtId="14" fontId="3" fillId="0" borderId="1" xfId="0" applyNumberFormat="1" applyFont="1" applyFill="1" applyBorder="1" applyAlignment="1">
      <alignment horizontal="left" vertical="center"/>
    </xf>
    <xf numFmtId="0" fontId="13" fillId="0" borderId="1" xfId="0" applyFont="1" applyBorder="1" applyAlignment="1">
      <alignment horizontal="left" vertical="center" wrapText="1"/>
    </xf>
    <xf numFmtId="0" fontId="10" fillId="3" borderId="1" xfId="0" applyFont="1" applyFill="1" applyBorder="1" applyAlignment="1">
      <alignment horizontal="center" vertical="center" wrapText="1"/>
    </xf>
    <xf numFmtId="0" fontId="3" fillId="6" borderId="0" xfId="0" applyFont="1" applyFill="1" applyBorder="1" applyAlignment="1" applyProtection="1">
      <alignment horizontal="left" vertical="center" wrapText="1"/>
    </xf>
    <xf numFmtId="0" fontId="8" fillId="0" borderId="1" xfId="0" applyFont="1" applyBorder="1" applyAlignment="1" applyProtection="1">
      <alignment vertical="center"/>
      <protection locked="0"/>
    </xf>
    <xf numFmtId="0" fontId="8" fillId="0" borderId="4" xfId="0" applyFont="1" applyFill="1" applyBorder="1" applyAlignment="1" applyProtection="1">
      <alignment horizontal="center" vertical="center" wrapText="1"/>
      <protection locked="0"/>
    </xf>
    <xf numFmtId="0" fontId="8" fillId="0" borderId="1" xfId="0" applyFont="1" applyBorder="1" applyAlignment="1" applyProtection="1">
      <alignment horizontal="left" vertical="center" wrapText="1"/>
      <protection locked="0"/>
    </xf>
    <xf numFmtId="164" fontId="8" fillId="0" borderId="3" xfId="0" applyNumberFormat="1"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15" fontId="8" fillId="0" borderId="2" xfId="0" applyNumberFormat="1" applyFont="1" applyBorder="1" applyAlignment="1" applyProtection="1">
      <alignment horizontal="center" vertical="center" wrapText="1"/>
      <protection locked="0"/>
    </xf>
    <xf numFmtId="0" fontId="8" fillId="0" borderId="3" xfId="2" applyNumberFormat="1" applyFont="1" applyBorder="1" applyAlignment="1" applyProtection="1">
      <alignment horizontal="center" vertical="center"/>
      <protection locked="0"/>
    </xf>
    <xf numFmtId="0" fontId="8" fillId="0" borderId="1" xfId="2" applyFont="1" applyBorder="1" applyAlignment="1" applyProtection="1">
      <alignment horizontal="center" vertical="center"/>
      <protection locked="0"/>
    </xf>
    <xf numFmtId="0" fontId="8" fillId="0" borderId="0" xfId="0" applyFont="1" applyProtection="1">
      <protection locked="0"/>
    </xf>
    <xf numFmtId="0" fontId="15" fillId="8" borderId="1" xfId="0" applyFont="1" applyFill="1" applyBorder="1" applyAlignment="1" applyProtection="1">
      <alignment horizontal="center" vertical="center" wrapText="1"/>
      <protection locked="0"/>
    </xf>
    <xf numFmtId="0" fontId="16" fillId="0" borderId="0" xfId="0" applyFont="1" applyFill="1" applyBorder="1" applyAlignment="1" applyProtection="1">
      <alignment horizontal="center" vertical="center" wrapText="1"/>
      <protection locked="0"/>
    </xf>
    <xf numFmtId="15" fontId="8" fillId="0" borderId="3"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center" wrapText="1"/>
      <protection locked="0"/>
    </xf>
    <xf numFmtId="0" fontId="3" fillId="0" borderId="5" xfId="0" applyFont="1" applyBorder="1" applyAlignment="1" applyProtection="1">
      <alignment horizontal="left" vertical="center" wrapText="1"/>
      <protection locked="0"/>
    </xf>
    <xf numFmtId="0" fontId="1" fillId="0" borderId="0" xfId="0" applyFont="1" applyAlignment="1" applyProtection="1">
      <alignment horizontal="left" vertical="center" wrapText="1"/>
      <protection locked="0"/>
    </xf>
    <xf numFmtId="0" fontId="8" fillId="0" borderId="3" xfId="2" applyFont="1" applyBorder="1" applyAlignment="1" applyProtection="1">
      <alignment horizontal="center" vertical="center"/>
      <protection locked="0"/>
    </xf>
    <xf numFmtId="0" fontId="3" fillId="0" borderId="1" xfId="0" applyFont="1" applyBorder="1" applyAlignment="1">
      <alignment horizontal="left" vertical="center" wrapText="1"/>
    </xf>
    <xf numFmtId="0" fontId="3" fillId="0" borderId="1" xfId="0" applyFont="1" applyFill="1" applyBorder="1" applyAlignment="1">
      <alignment horizontal="center"/>
    </xf>
    <xf numFmtId="0" fontId="0" fillId="0" borderId="15" xfId="0" applyFill="1" applyBorder="1" applyAlignment="1">
      <alignment horizontal="center"/>
    </xf>
    <xf numFmtId="0" fontId="11" fillId="0" borderId="15" xfId="0" applyFont="1" applyBorder="1" applyAlignment="1">
      <alignment horizontal="center"/>
    </xf>
  </cellXfs>
  <cellStyles count="6">
    <cellStyle name="Jun" xfId="1"/>
    <cellStyle name="Normal" xfId="0" builtinId="0"/>
    <cellStyle name="Normal 2" xfId="2"/>
    <cellStyle name="Normal 3" xfId="3"/>
    <cellStyle name="Normal 3 2" xfId="4"/>
    <cellStyle name="Normal 4 2" xf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15"/>
  <sheetViews>
    <sheetView topLeftCell="A4" zoomScale="70" zoomScaleNormal="70" workbookViewId="0">
      <selection activeCell="D14" sqref="D14"/>
    </sheetView>
  </sheetViews>
  <sheetFormatPr defaultRowHeight="12.75" x14ac:dyDescent="0.2"/>
  <cols>
    <col min="1" max="1" width="9.140625" style="31"/>
    <col min="2" max="2" width="12.42578125" style="31" customWidth="1"/>
    <col min="3" max="3" width="9.140625" style="31"/>
    <col min="4" max="4" width="82.85546875" customWidth="1"/>
    <col min="5" max="5" width="15.5703125" customWidth="1"/>
    <col min="6" max="6" width="124.42578125" customWidth="1"/>
    <col min="7" max="7" width="14.140625" customWidth="1"/>
    <col min="8" max="8" width="20.42578125" customWidth="1"/>
  </cols>
  <sheetData>
    <row r="1" spans="1:8" s="34" customFormat="1" ht="75.75" customHeight="1" x14ac:dyDescent="0.2">
      <c r="A1" s="32" t="s">
        <v>0</v>
      </c>
      <c r="B1" s="32" t="s">
        <v>1</v>
      </c>
      <c r="C1" s="33" t="s">
        <v>2</v>
      </c>
      <c r="D1" s="53" t="s">
        <v>3</v>
      </c>
      <c r="E1" s="33" t="s">
        <v>4</v>
      </c>
      <c r="F1" s="33" t="s">
        <v>5</v>
      </c>
      <c r="G1" s="33" t="s">
        <v>6</v>
      </c>
      <c r="H1" s="33" t="s">
        <v>7</v>
      </c>
    </row>
    <row r="2" spans="1:8" s="39" customFormat="1" ht="37.5" customHeight="1" x14ac:dyDescent="0.25">
      <c r="A2" s="35" t="s">
        <v>8</v>
      </c>
      <c r="B2" s="35" t="s">
        <v>8</v>
      </c>
      <c r="C2" s="36" t="s">
        <v>9</v>
      </c>
      <c r="D2" s="37" t="s">
        <v>10</v>
      </c>
      <c r="E2" s="38" t="s">
        <v>11</v>
      </c>
      <c r="F2" s="52" t="s">
        <v>12</v>
      </c>
      <c r="G2" s="35" t="s">
        <v>108</v>
      </c>
      <c r="H2" s="38" t="s">
        <v>13</v>
      </c>
    </row>
    <row r="3" spans="1:8" s="39" customFormat="1" ht="33.75" customHeight="1" x14ac:dyDescent="0.25">
      <c r="A3" s="35" t="s">
        <v>8</v>
      </c>
      <c r="B3" s="35" t="s">
        <v>8</v>
      </c>
      <c r="C3" s="36" t="s">
        <v>14</v>
      </c>
      <c r="D3" s="40" t="s">
        <v>15</v>
      </c>
      <c r="E3" s="38" t="s">
        <v>11</v>
      </c>
      <c r="F3" s="52" t="s">
        <v>17</v>
      </c>
      <c r="G3" s="35" t="s">
        <v>108</v>
      </c>
      <c r="H3" s="38" t="s">
        <v>13</v>
      </c>
    </row>
    <row r="4" spans="1:8" s="39" customFormat="1" ht="33.75" customHeight="1" x14ac:dyDescent="0.25">
      <c r="A4" s="35" t="s">
        <v>8</v>
      </c>
      <c r="B4" s="35" t="s">
        <v>8</v>
      </c>
      <c r="C4" s="36" t="s">
        <v>19</v>
      </c>
      <c r="D4" s="40" t="s">
        <v>109</v>
      </c>
      <c r="E4" s="38" t="s">
        <v>16</v>
      </c>
      <c r="F4" s="52" t="s">
        <v>110</v>
      </c>
      <c r="G4" s="35" t="s">
        <v>108</v>
      </c>
      <c r="H4" s="38" t="s">
        <v>13</v>
      </c>
    </row>
    <row r="5" spans="1:8" s="39" customFormat="1" ht="27.75" customHeight="1" x14ac:dyDescent="0.25">
      <c r="A5" s="35" t="s">
        <v>18</v>
      </c>
      <c r="B5" s="35" t="s">
        <v>18</v>
      </c>
      <c r="C5" s="36" t="s">
        <v>9</v>
      </c>
      <c r="D5" s="40" t="s">
        <v>111</v>
      </c>
      <c r="E5" s="38" t="s">
        <v>11</v>
      </c>
      <c r="F5" s="52" t="s">
        <v>20</v>
      </c>
      <c r="G5" s="35" t="s">
        <v>108</v>
      </c>
      <c r="H5" s="38" t="s">
        <v>13</v>
      </c>
    </row>
    <row r="6" spans="1:8" s="39" customFormat="1" ht="29.25" customHeight="1" x14ac:dyDescent="0.25">
      <c r="A6" s="35" t="s">
        <v>18</v>
      </c>
      <c r="B6" s="35" t="s">
        <v>18</v>
      </c>
      <c r="C6" s="36" t="s">
        <v>14</v>
      </c>
      <c r="D6" s="40" t="s">
        <v>112</v>
      </c>
      <c r="E6" s="38" t="s">
        <v>11</v>
      </c>
      <c r="F6" s="52" t="s">
        <v>22</v>
      </c>
      <c r="G6" s="35" t="s">
        <v>108</v>
      </c>
      <c r="H6" s="38" t="s">
        <v>13</v>
      </c>
    </row>
    <row r="7" spans="1:8" s="39" customFormat="1" ht="29.25" customHeight="1" x14ac:dyDescent="0.25">
      <c r="A7" s="35" t="s">
        <v>18</v>
      </c>
      <c r="B7" s="35" t="s">
        <v>18</v>
      </c>
      <c r="C7" s="36" t="s">
        <v>19</v>
      </c>
      <c r="D7" s="41" t="s">
        <v>113</v>
      </c>
      <c r="E7" s="38" t="s">
        <v>11</v>
      </c>
      <c r="F7" s="52" t="s">
        <v>22</v>
      </c>
      <c r="G7" s="35" t="s">
        <v>108</v>
      </c>
      <c r="H7" s="38" t="s">
        <v>13</v>
      </c>
    </row>
    <row r="8" spans="1:8" s="39" customFormat="1" ht="46.5" customHeight="1" x14ac:dyDescent="0.25">
      <c r="A8" s="35" t="s">
        <v>18</v>
      </c>
      <c r="B8" s="35" t="s">
        <v>18</v>
      </c>
      <c r="C8" s="36" t="s">
        <v>21</v>
      </c>
      <c r="D8" s="41" t="s">
        <v>114</v>
      </c>
      <c r="E8" s="38" t="s">
        <v>11</v>
      </c>
      <c r="F8" s="52" t="s">
        <v>22</v>
      </c>
      <c r="G8" s="35" t="s">
        <v>108</v>
      </c>
      <c r="H8" s="38" t="s">
        <v>13</v>
      </c>
    </row>
    <row r="9" spans="1:8" s="39" customFormat="1" ht="27.75" customHeight="1" x14ac:dyDescent="0.25">
      <c r="A9" s="35" t="s">
        <v>23</v>
      </c>
      <c r="B9" s="35" t="s">
        <v>23</v>
      </c>
      <c r="C9" s="36" t="s">
        <v>9</v>
      </c>
      <c r="D9" s="40" t="s">
        <v>24</v>
      </c>
      <c r="E9" s="38" t="s">
        <v>11</v>
      </c>
      <c r="F9" s="52" t="s">
        <v>26</v>
      </c>
      <c r="G9" s="35" t="s">
        <v>108</v>
      </c>
      <c r="H9" s="38" t="s">
        <v>13</v>
      </c>
    </row>
    <row r="10" spans="1:8" s="39" customFormat="1" ht="27.75" customHeight="1" x14ac:dyDescent="0.25">
      <c r="A10" s="35" t="s">
        <v>23</v>
      </c>
      <c r="B10" s="35" t="s">
        <v>23</v>
      </c>
      <c r="C10" s="36" t="s">
        <v>14</v>
      </c>
      <c r="D10" s="40" t="s">
        <v>25</v>
      </c>
      <c r="E10" s="38" t="s">
        <v>11</v>
      </c>
      <c r="F10" s="52" t="s">
        <v>26</v>
      </c>
      <c r="G10" s="35" t="s">
        <v>108</v>
      </c>
      <c r="H10" s="38" t="s">
        <v>13</v>
      </c>
    </row>
    <row r="11" spans="1:8" s="39" customFormat="1" ht="27.75" customHeight="1" x14ac:dyDescent="0.25">
      <c r="A11" s="35" t="s">
        <v>23</v>
      </c>
      <c r="B11" s="35" t="s">
        <v>23</v>
      </c>
      <c r="C11" s="36" t="s">
        <v>19</v>
      </c>
      <c r="D11" s="40" t="s">
        <v>118</v>
      </c>
      <c r="E11" s="38" t="s">
        <v>117</v>
      </c>
      <c r="F11" s="52" t="s">
        <v>26</v>
      </c>
      <c r="G11" s="35" t="s">
        <v>108</v>
      </c>
      <c r="H11" s="38" t="s">
        <v>13</v>
      </c>
    </row>
    <row r="12" spans="1:8" s="39" customFormat="1" ht="27.75" customHeight="1" x14ac:dyDescent="0.25">
      <c r="A12" s="35" t="s">
        <v>27</v>
      </c>
      <c r="B12" s="35" t="s">
        <v>27</v>
      </c>
      <c r="C12" s="36" t="s">
        <v>9</v>
      </c>
      <c r="D12" s="40" t="s">
        <v>29</v>
      </c>
      <c r="E12" s="38" t="s">
        <v>11</v>
      </c>
      <c r="F12" s="52" t="s">
        <v>30</v>
      </c>
      <c r="G12" s="35" t="s">
        <v>108</v>
      </c>
      <c r="H12" s="38" t="s">
        <v>13</v>
      </c>
    </row>
    <row r="13" spans="1:8" s="39" customFormat="1" ht="34.5" customHeight="1" x14ac:dyDescent="0.25">
      <c r="A13" s="35" t="s">
        <v>27</v>
      </c>
      <c r="B13" s="35" t="s">
        <v>27</v>
      </c>
      <c r="C13" s="36" t="s">
        <v>14</v>
      </c>
      <c r="D13" s="40" t="s">
        <v>32</v>
      </c>
      <c r="E13" s="38" t="s">
        <v>11</v>
      </c>
      <c r="F13" s="52" t="s">
        <v>33</v>
      </c>
      <c r="G13" s="35" t="s">
        <v>108</v>
      </c>
      <c r="H13" s="38" t="s">
        <v>13</v>
      </c>
    </row>
    <row r="14" spans="1:8" s="39" customFormat="1" ht="34.5" customHeight="1" x14ac:dyDescent="0.25">
      <c r="A14" s="35" t="s">
        <v>27</v>
      </c>
      <c r="B14" s="35" t="s">
        <v>27</v>
      </c>
      <c r="C14" s="36" t="s">
        <v>19</v>
      </c>
      <c r="D14" s="40" t="s">
        <v>120</v>
      </c>
      <c r="E14" s="38" t="s">
        <v>11</v>
      </c>
      <c r="F14" s="52" t="s">
        <v>33</v>
      </c>
      <c r="G14" s="35" t="s">
        <v>108</v>
      </c>
      <c r="H14" s="38" t="s">
        <v>13</v>
      </c>
    </row>
    <row r="15" spans="1:8" s="39" customFormat="1" ht="34.5" customHeight="1" x14ac:dyDescent="0.25">
      <c r="A15" s="35" t="s">
        <v>27</v>
      </c>
      <c r="B15" s="35" t="s">
        <v>27</v>
      </c>
      <c r="C15" s="36" t="s">
        <v>21</v>
      </c>
      <c r="D15" s="40" t="s">
        <v>119</v>
      </c>
      <c r="E15" s="38" t="s">
        <v>11</v>
      </c>
      <c r="F15" s="52" t="s">
        <v>33</v>
      </c>
      <c r="G15" s="35" t="s">
        <v>108</v>
      </c>
      <c r="H15" s="38" t="s">
        <v>13</v>
      </c>
    </row>
  </sheetData>
  <dataValidations count="2">
    <dataValidation type="list" allowBlank="1" showInputMessage="1" showErrorMessage="1" sqref="H2:H15">
      <formula1>"1- Not Started, 2- In Progress, 3- Completed"</formula1>
    </dataValidation>
    <dataValidation type="list" allowBlank="1" showInputMessage="1" showErrorMessage="1" sqref="E2:E15">
      <formula1>"MUST HAVE, SHOULD HAVE, COULD HAVE, WON'T HAVE"</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W62"/>
  <sheetViews>
    <sheetView showGridLines="0" topLeftCell="D1" zoomScale="80" zoomScaleNormal="80" workbookViewId="0">
      <selection activeCell="T8" sqref="T8"/>
    </sheetView>
  </sheetViews>
  <sheetFormatPr defaultRowHeight="11.25" x14ac:dyDescent="0.2"/>
  <cols>
    <col min="1" max="1" width="10" style="10" customWidth="1"/>
    <col min="2" max="2" width="9.7109375" style="17" customWidth="1"/>
    <col min="3" max="3" width="41.28515625" style="69" customWidth="1"/>
    <col min="4" max="4" width="11.42578125" style="18" customWidth="1"/>
    <col min="5" max="5" width="11.42578125" style="19" customWidth="1"/>
    <col min="6" max="6" width="9.7109375" style="20" customWidth="1"/>
    <col min="7" max="7" width="17" style="10" customWidth="1"/>
    <col min="8" max="8" width="13.28515625" style="21" customWidth="1"/>
    <col min="9" max="9" width="9.28515625" style="21" customWidth="1"/>
    <col min="10" max="10" width="10.85546875" style="21" customWidth="1"/>
    <col min="11" max="11" width="10.28515625" style="10" customWidth="1"/>
    <col min="12" max="12" width="10.140625" style="10" customWidth="1"/>
    <col min="13" max="16384" width="9.140625" style="10"/>
  </cols>
  <sheetData>
    <row r="1" spans="1:23" ht="18.75" customHeight="1" thickBot="1" x14ac:dyDescent="0.25">
      <c r="A1" s="26" t="s">
        <v>34</v>
      </c>
      <c r="B1" s="27"/>
      <c r="C1" s="54"/>
      <c r="D1" s="27"/>
      <c r="E1" s="27"/>
      <c r="F1" s="27"/>
      <c r="G1" s="27"/>
      <c r="H1" s="27"/>
      <c r="I1" s="27"/>
      <c r="J1" s="27"/>
      <c r="K1" s="27"/>
      <c r="L1" s="27"/>
      <c r="M1" s="27"/>
      <c r="N1" s="27"/>
      <c r="O1" s="27"/>
      <c r="P1" s="27"/>
      <c r="Q1" s="27"/>
      <c r="R1" s="27"/>
      <c r="S1" s="27"/>
      <c r="T1" s="28"/>
      <c r="U1" s="28"/>
      <c r="V1" s="27"/>
      <c r="W1" s="28"/>
    </row>
    <row r="2" spans="1:23" s="11" customFormat="1" ht="45.75" customHeight="1" x14ac:dyDescent="0.2">
      <c r="A2" s="46" t="s">
        <v>2</v>
      </c>
      <c r="B2" s="44" t="s">
        <v>35</v>
      </c>
      <c r="C2" s="42" t="s">
        <v>36</v>
      </c>
      <c r="D2" s="42" t="s">
        <v>37</v>
      </c>
      <c r="E2" s="49" t="s">
        <v>38</v>
      </c>
      <c r="F2" s="42" t="s">
        <v>39</v>
      </c>
      <c r="G2" s="42" t="s">
        <v>40</v>
      </c>
      <c r="H2" s="42" t="s">
        <v>7</v>
      </c>
      <c r="I2" s="24" t="s">
        <v>41</v>
      </c>
      <c r="J2" s="25" t="s">
        <v>42</v>
      </c>
      <c r="K2" s="25" t="s">
        <v>43</v>
      </c>
      <c r="L2" s="25" t="s">
        <v>44</v>
      </c>
      <c r="M2" s="25" t="s">
        <v>45</v>
      </c>
      <c r="N2" s="25" t="s">
        <v>46</v>
      </c>
      <c r="O2" s="25" t="s">
        <v>47</v>
      </c>
      <c r="P2" s="25" t="s">
        <v>48</v>
      </c>
      <c r="Q2" s="25" t="s">
        <v>49</v>
      </c>
      <c r="R2" s="25" t="s">
        <v>50</v>
      </c>
      <c r="S2" s="25" t="s">
        <v>51</v>
      </c>
      <c r="T2" s="25" t="s">
        <v>52</v>
      </c>
      <c r="U2" s="25" t="s">
        <v>53</v>
      </c>
      <c r="V2" s="25" t="s">
        <v>54</v>
      </c>
      <c r="W2" s="25" t="s">
        <v>55</v>
      </c>
    </row>
    <row r="3" spans="1:23" s="11" customFormat="1" ht="30" customHeight="1" x14ac:dyDescent="0.2">
      <c r="A3" s="47"/>
      <c r="B3" s="45"/>
      <c r="C3" s="43"/>
      <c r="D3" s="43"/>
      <c r="E3" s="50"/>
      <c r="F3" s="43"/>
      <c r="G3" s="43"/>
      <c r="H3" s="43"/>
      <c r="I3" s="29">
        <f t="shared" ref="I3:W3" si="0">SUM(I5:I758)</f>
        <v>47</v>
      </c>
      <c r="J3" s="29">
        <f t="shared" si="0"/>
        <v>4</v>
      </c>
      <c r="K3" s="29">
        <f t="shared" si="0"/>
        <v>5</v>
      </c>
      <c r="L3" s="29">
        <f t="shared" si="0"/>
        <v>6</v>
      </c>
      <c r="M3" s="29">
        <f t="shared" si="0"/>
        <v>6</v>
      </c>
      <c r="N3" s="29">
        <f t="shared" si="0"/>
        <v>6</v>
      </c>
      <c r="O3" s="29">
        <f t="shared" si="0"/>
        <v>5</v>
      </c>
      <c r="P3" s="29">
        <f t="shared" si="0"/>
        <v>4</v>
      </c>
      <c r="Q3" s="29">
        <f t="shared" si="0"/>
        <v>4</v>
      </c>
      <c r="R3" s="29">
        <f t="shared" si="0"/>
        <v>3</v>
      </c>
      <c r="S3" s="29">
        <f t="shared" si="0"/>
        <v>3</v>
      </c>
      <c r="T3" s="29">
        <f t="shared" si="0"/>
        <v>1</v>
      </c>
      <c r="U3" s="29">
        <f t="shared" si="0"/>
        <v>0</v>
      </c>
      <c r="V3" s="29">
        <f t="shared" si="0"/>
        <v>0</v>
      </c>
      <c r="W3" s="29">
        <f t="shared" si="0"/>
        <v>0</v>
      </c>
    </row>
    <row r="4" spans="1:23" s="11" customFormat="1" ht="33.75" customHeight="1" x14ac:dyDescent="0.2">
      <c r="A4" s="48" t="s">
        <v>56</v>
      </c>
      <c r="B4" s="48"/>
      <c r="C4" s="48"/>
      <c r="D4" s="48"/>
      <c r="E4" s="48"/>
      <c r="F4" s="48"/>
      <c r="G4" s="48"/>
      <c r="H4" s="48"/>
      <c r="I4" s="48"/>
      <c r="J4" s="48"/>
      <c r="K4" s="48"/>
      <c r="L4" s="48"/>
      <c r="M4" s="48"/>
      <c r="N4" s="48"/>
      <c r="O4" s="48"/>
      <c r="P4" s="48"/>
      <c r="Q4" s="48"/>
      <c r="R4" s="48"/>
      <c r="S4" s="48"/>
      <c r="T4" s="48"/>
      <c r="U4" s="48"/>
      <c r="V4" s="48"/>
      <c r="W4" s="48"/>
    </row>
    <row r="5" spans="1:23" s="63" customFormat="1" ht="34.5" customHeight="1" x14ac:dyDescent="0.2">
      <c r="A5" s="55" t="s">
        <v>9</v>
      </c>
      <c r="B5" s="56">
        <v>1</v>
      </c>
      <c r="C5" s="57" t="s">
        <v>57</v>
      </c>
      <c r="D5" s="58">
        <v>45600</v>
      </c>
      <c r="E5" s="58">
        <v>45601</v>
      </c>
      <c r="F5" s="59" t="s">
        <v>108</v>
      </c>
      <c r="G5" s="60" t="s">
        <v>58</v>
      </c>
      <c r="H5" s="67" t="s">
        <v>13</v>
      </c>
      <c r="I5" s="61">
        <v>1</v>
      </c>
      <c r="J5" s="61">
        <v>1</v>
      </c>
      <c r="K5" s="61">
        <v>0</v>
      </c>
      <c r="L5" s="61">
        <v>0</v>
      </c>
      <c r="M5" s="61">
        <v>0</v>
      </c>
      <c r="N5" s="61">
        <v>0</v>
      </c>
      <c r="O5" s="62">
        <v>0</v>
      </c>
      <c r="P5" s="62">
        <v>0</v>
      </c>
      <c r="Q5" s="62">
        <v>0</v>
      </c>
      <c r="R5" s="62">
        <v>0</v>
      </c>
      <c r="S5" s="62">
        <v>0</v>
      </c>
      <c r="T5" s="62">
        <v>0</v>
      </c>
      <c r="U5" s="62">
        <v>0</v>
      </c>
      <c r="V5" s="62">
        <v>0</v>
      </c>
      <c r="W5" s="62">
        <v>0</v>
      </c>
    </row>
    <row r="6" spans="1:23" s="63" customFormat="1" ht="24.75" customHeight="1" x14ac:dyDescent="0.2">
      <c r="A6" s="55" t="s">
        <v>9</v>
      </c>
      <c r="B6" s="56">
        <v>2</v>
      </c>
      <c r="C6" s="57" t="s">
        <v>59</v>
      </c>
      <c r="D6" s="58">
        <v>45602</v>
      </c>
      <c r="E6" s="58">
        <v>45603</v>
      </c>
      <c r="F6" s="59" t="s">
        <v>108</v>
      </c>
      <c r="G6" s="60" t="s">
        <v>58</v>
      </c>
      <c r="H6" s="67" t="s">
        <v>13</v>
      </c>
      <c r="I6" s="61">
        <v>2</v>
      </c>
      <c r="J6" s="61">
        <v>0</v>
      </c>
      <c r="K6" s="61">
        <v>2</v>
      </c>
      <c r="L6" s="61">
        <v>0</v>
      </c>
      <c r="M6" s="61">
        <v>0</v>
      </c>
      <c r="N6" s="61">
        <v>0</v>
      </c>
      <c r="O6" s="61">
        <v>0</v>
      </c>
      <c r="P6" s="61">
        <v>0</v>
      </c>
      <c r="Q6" s="61">
        <v>0</v>
      </c>
      <c r="R6" s="61">
        <v>0</v>
      </c>
      <c r="S6" s="61">
        <v>0</v>
      </c>
      <c r="T6" s="61">
        <v>0</v>
      </c>
      <c r="U6" s="61">
        <v>0</v>
      </c>
      <c r="V6" s="61">
        <v>0</v>
      </c>
      <c r="W6" s="61">
        <v>0</v>
      </c>
    </row>
    <row r="7" spans="1:23" s="63" customFormat="1" ht="28.5" customHeight="1" x14ac:dyDescent="0.2">
      <c r="A7" s="55" t="s">
        <v>14</v>
      </c>
      <c r="B7" s="56">
        <v>3</v>
      </c>
      <c r="C7" s="57" t="s">
        <v>60</v>
      </c>
      <c r="D7" s="58">
        <v>45604</v>
      </c>
      <c r="E7" s="58">
        <v>45606</v>
      </c>
      <c r="F7" s="59" t="s">
        <v>108</v>
      </c>
      <c r="G7" s="60" t="s">
        <v>58</v>
      </c>
      <c r="H7" s="67" t="s">
        <v>13</v>
      </c>
      <c r="I7" s="61">
        <v>3</v>
      </c>
      <c r="J7" s="61">
        <v>0</v>
      </c>
      <c r="K7" s="61">
        <v>0</v>
      </c>
      <c r="L7" s="61">
        <v>2</v>
      </c>
      <c r="M7" s="61">
        <v>1</v>
      </c>
      <c r="N7" s="61">
        <v>0</v>
      </c>
      <c r="O7" s="61">
        <v>0</v>
      </c>
      <c r="P7" s="61">
        <v>0</v>
      </c>
      <c r="Q7" s="61">
        <v>0</v>
      </c>
      <c r="R7" s="61">
        <v>0</v>
      </c>
      <c r="S7" s="61">
        <v>0</v>
      </c>
      <c r="T7" s="61">
        <v>0</v>
      </c>
      <c r="U7" s="61">
        <v>0</v>
      </c>
      <c r="V7" s="61">
        <v>0</v>
      </c>
      <c r="W7" s="61">
        <v>0</v>
      </c>
    </row>
    <row r="8" spans="1:23" s="63" customFormat="1" ht="36.75" customHeight="1" x14ac:dyDescent="0.2">
      <c r="A8" s="55" t="s">
        <v>14</v>
      </c>
      <c r="B8" s="56">
        <v>4</v>
      </c>
      <c r="C8" s="57" t="s">
        <v>61</v>
      </c>
      <c r="D8" s="58">
        <v>45608</v>
      </c>
      <c r="E8" s="58">
        <v>45610</v>
      </c>
      <c r="F8" s="59" t="s">
        <v>108</v>
      </c>
      <c r="G8" s="60" t="s">
        <v>62</v>
      </c>
      <c r="H8" s="67" t="s">
        <v>13</v>
      </c>
      <c r="I8" s="61">
        <v>2</v>
      </c>
      <c r="J8" s="61">
        <v>0</v>
      </c>
      <c r="K8" s="61">
        <v>0</v>
      </c>
      <c r="L8" s="61">
        <v>0</v>
      </c>
      <c r="M8" s="61">
        <v>0</v>
      </c>
      <c r="N8" s="61">
        <v>1</v>
      </c>
      <c r="O8" s="62">
        <v>1</v>
      </c>
      <c r="P8" s="62">
        <v>0</v>
      </c>
      <c r="Q8" s="62">
        <v>0</v>
      </c>
      <c r="R8" s="62">
        <v>0</v>
      </c>
      <c r="S8" s="62">
        <v>0</v>
      </c>
      <c r="T8" s="61">
        <v>0</v>
      </c>
      <c r="U8" s="62">
        <v>0</v>
      </c>
      <c r="V8" s="62">
        <v>0</v>
      </c>
      <c r="W8" s="61">
        <v>0</v>
      </c>
    </row>
    <row r="9" spans="1:23" s="63" customFormat="1" ht="36.75" customHeight="1" x14ac:dyDescent="0.2">
      <c r="A9" s="55" t="s">
        <v>19</v>
      </c>
      <c r="B9" s="56">
        <v>5</v>
      </c>
      <c r="C9" s="57" t="s">
        <v>121</v>
      </c>
      <c r="D9" s="58">
        <v>45611</v>
      </c>
      <c r="E9" s="58">
        <v>45613</v>
      </c>
      <c r="F9" s="59" t="s">
        <v>108</v>
      </c>
      <c r="G9" s="60" t="s">
        <v>62</v>
      </c>
      <c r="H9" s="67" t="s">
        <v>13</v>
      </c>
      <c r="I9" s="61">
        <v>1</v>
      </c>
      <c r="J9" s="61">
        <v>0</v>
      </c>
      <c r="K9" s="61">
        <v>0</v>
      </c>
      <c r="L9" s="61">
        <v>0</v>
      </c>
      <c r="M9" s="61">
        <v>0</v>
      </c>
      <c r="N9" s="61">
        <v>0</v>
      </c>
      <c r="O9" s="62">
        <v>0</v>
      </c>
      <c r="P9" s="62">
        <v>1</v>
      </c>
      <c r="Q9" s="62">
        <v>0</v>
      </c>
      <c r="R9" s="62">
        <v>0</v>
      </c>
      <c r="S9" s="62">
        <v>0</v>
      </c>
      <c r="T9" s="61">
        <v>0</v>
      </c>
      <c r="U9" s="62">
        <v>0</v>
      </c>
      <c r="V9" s="62">
        <v>0</v>
      </c>
      <c r="W9" s="61">
        <v>0</v>
      </c>
    </row>
    <row r="10" spans="1:23" s="65" customFormat="1" ht="33.75" customHeight="1" x14ac:dyDescent="0.2">
      <c r="A10" s="64" t="s">
        <v>63</v>
      </c>
      <c r="B10" s="64"/>
      <c r="C10" s="64"/>
      <c r="D10" s="64"/>
      <c r="E10" s="64"/>
      <c r="F10" s="64"/>
      <c r="G10" s="64"/>
      <c r="H10" s="64"/>
      <c r="I10" s="64"/>
      <c r="J10" s="64"/>
      <c r="K10" s="64"/>
      <c r="L10" s="64"/>
      <c r="M10" s="64"/>
      <c r="N10" s="64"/>
      <c r="O10" s="64"/>
      <c r="P10" s="64"/>
      <c r="Q10" s="64"/>
      <c r="R10" s="64"/>
      <c r="S10" s="64"/>
      <c r="T10" s="64"/>
      <c r="U10" s="64"/>
      <c r="V10" s="64"/>
      <c r="W10" s="64"/>
    </row>
    <row r="11" spans="1:23" s="63" customFormat="1" ht="24.75" customHeight="1" x14ac:dyDescent="0.2">
      <c r="A11" s="55" t="s">
        <v>9</v>
      </c>
      <c r="B11" s="56">
        <v>1</v>
      </c>
      <c r="C11" s="57" t="s">
        <v>65</v>
      </c>
      <c r="D11" s="66">
        <v>45614</v>
      </c>
      <c r="E11" s="66">
        <v>45615</v>
      </c>
      <c r="F11" s="59" t="s">
        <v>108</v>
      </c>
      <c r="G11" s="60" t="s">
        <v>64</v>
      </c>
      <c r="H11" s="67" t="s">
        <v>13</v>
      </c>
      <c r="I11" s="61">
        <v>2</v>
      </c>
      <c r="J11" s="61">
        <v>1</v>
      </c>
      <c r="K11" s="61">
        <v>1</v>
      </c>
      <c r="L11" s="61">
        <v>0</v>
      </c>
      <c r="M11" s="61">
        <v>0</v>
      </c>
      <c r="N11" s="61">
        <v>0</v>
      </c>
      <c r="O11" s="62">
        <v>0</v>
      </c>
      <c r="P11" s="62">
        <v>0</v>
      </c>
      <c r="Q11" s="62">
        <v>0</v>
      </c>
      <c r="R11" s="62">
        <v>0</v>
      </c>
      <c r="S11" s="62">
        <v>0</v>
      </c>
      <c r="T11" s="62">
        <v>0</v>
      </c>
      <c r="U11" s="62">
        <v>0</v>
      </c>
      <c r="V11" s="62">
        <v>0</v>
      </c>
      <c r="W11" s="62">
        <v>0</v>
      </c>
    </row>
    <row r="12" spans="1:23" s="63" customFormat="1" ht="24.75" customHeight="1" x14ac:dyDescent="0.2">
      <c r="A12" s="55" t="s">
        <v>14</v>
      </c>
      <c r="B12" s="56">
        <v>2</v>
      </c>
      <c r="C12" s="57" t="s">
        <v>122</v>
      </c>
      <c r="D12" s="66">
        <v>45616</v>
      </c>
      <c r="E12" s="66">
        <v>45619</v>
      </c>
      <c r="F12" s="59" t="s">
        <v>108</v>
      </c>
      <c r="G12" s="60" t="s">
        <v>64</v>
      </c>
      <c r="H12" s="67" t="s">
        <v>13</v>
      </c>
      <c r="I12" s="61">
        <v>3</v>
      </c>
      <c r="J12" s="61">
        <v>0</v>
      </c>
      <c r="K12" s="61">
        <v>0</v>
      </c>
      <c r="L12" s="61">
        <v>2</v>
      </c>
      <c r="M12" s="61">
        <v>1</v>
      </c>
      <c r="N12" s="61">
        <v>0</v>
      </c>
      <c r="O12" s="62">
        <v>0</v>
      </c>
      <c r="P12" s="62">
        <v>0</v>
      </c>
      <c r="Q12" s="62">
        <v>0</v>
      </c>
      <c r="R12" s="62">
        <v>0</v>
      </c>
      <c r="S12" s="62">
        <v>0</v>
      </c>
      <c r="T12" s="62">
        <v>0</v>
      </c>
      <c r="U12" s="62">
        <v>0</v>
      </c>
      <c r="V12" s="62">
        <v>0</v>
      </c>
      <c r="W12" s="62">
        <v>0</v>
      </c>
    </row>
    <row r="13" spans="1:23" s="63" customFormat="1" ht="28.5" customHeight="1" x14ac:dyDescent="0.2">
      <c r="A13" s="55" t="s">
        <v>19</v>
      </c>
      <c r="B13" s="56">
        <v>3</v>
      </c>
      <c r="C13" s="57" t="s">
        <v>66</v>
      </c>
      <c r="D13" s="66">
        <v>45621</v>
      </c>
      <c r="E13" s="66">
        <v>45622</v>
      </c>
      <c r="F13" s="59" t="s">
        <v>108</v>
      </c>
      <c r="G13" s="60" t="s">
        <v>64</v>
      </c>
      <c r="H13" s="67" t="s">
        <v>13</v>
      </c>
      <c r="I13" s="62">
        <v>4</v>
      </c>
      <c r="J13" s="61">
        <v>0</v>
      </c>
      <c r="K13" s="61">
        <v>0</v>
      </c>
      <c r="L13" s="61">
        <v>0</v>
      </c>
      <c r="M13" s="61">
        <v>0</v>
      </c>
      <c r="N13" s="61">
        <v>2</v>
      </c>
      <c r="O13" s="61">
        <v>2</v>
      </c>
      <c r="P13" s="62">
        <v>0</v>
      </c>
      <c r="Q13" s="62">
        <v>0</v>
      </c>
      <c r="R13" s="62">
        <v>0</v>
      </c>
      <c r="S13" s="62">
        <v>0</v>
      </c>
      <c r="T13" s="62">
        <v>0</v>
      </c>
      <c r="U13" s="62">
        <v>0</v>
      </c>
      <c r="V13" s="62">
        <v>0</v>
      </c>
      <c r="W13" s="62">
        <v>0</v>
      </c>
    </row>
    <row r="14" spans="1:23" s="63" customFormat="1" ht="28.5" customHeight="1" x14ac:dyDescent="0.2">
      <c r="A14" s="55" t="s">
        <v>19</v>
      </c>
      <c r="B14" s="56">
        <v>4</v>
      </c>
      <c r="C14" s="57" t="s">
        <v>123</v>
      </c>
      <c r="D14" s="66">
        <v>45623</v>
      </c>
      <c r="E14" s="66">
        <v>45623</v>
      </c>
      <c r="F14" s="59" t="s">
        <v>108</v>
      </c>
      <c r="G14" s="60" t="s">
        <v>64</v>
      </c>
      <c r="H14" s="67" t="s">
        <v>13</v>
      </c>
      <c r="I14" s="70">
        <v>2</v>
      </c>
      <c r="J14" s="61">
        <v>0</v>
      </c>
      <c r="K14" s="61">
        <v>0</v>
      </c>
      <c r="L14" s="61">
        <v>0</v>
      </c>
      <c r="M14" s="61">
        <v>0</v>
      </c>
      <c r="N14" s="61">
        <v>0</v>
      </c>
      <c r="O14" s="61">
        <v>0</v>
      </c>
      <c r="P14" s="61">
        <v>1</v>
      </c>
      <c r="Q14" s="61">
        <v>1</v>
      </c>
      <c r="R14" s="62">
        <v>0</v>
      </c>
      <c r="S14" s="62">
        <v>0</v>
      </c>
      <c r="T14" s="62">
        <v>0</v>
      </c>
      <c r="U14" s="62">
        <v>0</v>
      </c>
      <c r="V14" s="62">
        <v>0</v>
      </c>
      <c r="W14" s="62">
        <v>0</v>
      </c>
    </row>
    <row r="15" spans="1:23" s="63" customFormat="1" ht="36.75" customHeight="1" x14ac:dyDescent="0.2">
      <c r="A15" s="55" t="s">
        <v>21</v>
      </c>
      <c r="B15" s="56">
        <v>5</v>
      </c>
      <c r="C15" s="57" t="s">
        <v>67</v>
      </c>
      <c r="D15" s="66">
        <v>45624</v>
      </c>
      <c r="E15" s="66">
        <v>45625</v>
      </c>
      <c r="F15" s="59" t="s">
        <v>108</v>
      </c>
      <c r="G15" s="60" t="s">
        <v>64</v>
      </c>
      <c r="H15" s="67" t="s">
        <v>13</v>
      </c>
      <c r="I15" s="61">
        <v>3</v>
      </c>
      <c r="J15" s="61">
        <v>0</v>
      </c>
      <c r="K15" s="61">
        <v>0</v>
      </c>
      <c r="L15" s="61">
        <v>0</v>
      </c>
      <c r="M15" s="61">
        <v>0</v>
      </c>
      <c r="N15" s="61">
        <v>0</v>
      </c>
      <c r="O15" s="61">
        <v>0</v>
      </c>
      <c r="P15" s="61">
        <v>0</v>
      </c>
      <c r="Q15" s="61">
        <v>0</v>
      </c>
      <c r="R15" s="62">
        <v>1</v>
      </c>
      <c r="S15" s="62">
        <v>1</v>
      </c>
      <c r="T15" s="61">
        <v>1</v>
      </c>
      <c r="U15" s="62">
        <v>0</v>
      </c>
      <c r="V15" s="62">
        <v>0</v>
      </c>
      <c r="W15" s="62">
        <v>0</v>
      </c>
    </row>
    <row r="16" spans="1:23" s="65" customFormat="1" ht="33.75" customHeight="1" x14ac:dyDescent="0.2">
      <c r="A16" s="64" t="s">
        <v>68</v>
      </c>
      <c r="B16" s="64"/>
      <c r="C16" s="64"/>
      <c r="D16" s="64"/>
      <c r="E16" s="64"/>
      <c r="F16" s="64"/>
      <c r="G16" s="64"/>
      <c r="H16" s="64"/>
      <c r="I16" s="64"/>
      <c r="J16" s="64"/>
      <c r="K16" s="64"/>
      <c r="L16" s="64"/>
      <c r="M16" s="64"/>
      <c r="N16" s="64"/>
      <c r="O16" s="64"/>
      <c r="P16" s="64"/>
      <c r="Q16" s="64"/>
      <c r="R16" s="64"/>
      <c r="S16" s="64"/>
      <c r="T16" s="64"/>
      <c r="U16" s="64"/>
      <c r="V16" s="64"/>
      <c r="W16" s="64"/>
    </row>
    <row r="17" spans="1:23" s="63" customFormat="1" ht="24.75" customHeight="1" x14ac:dyDescent="0.2">
      <c r="A17" s="55" t="s">
        <v>9</v>
      </c>
      <c r="B17" s="56">
        <v>1</v>
      </c>
      <c r="C17" s="57" t="s">
        <v>69</v>
      </c>
      <c r="D17" s="66">
        <v>45628</v>
      </c>
      <c r="E17" s="66">
        <v>45629</v>
      </c>
      <c r="F17" s="59" t="s">
        <v>108</v>
      </c>
      <c r="G17" s="60" t="s">
        <v>64</v>
      </c>
      <c r="H17" s="67" t="s">
        <v>13</v>
      </c>
      <c r="I17" s="61">
        <v>2</v>
      </c>
      <c r="J17" s="61">
        <v>2</v>
      </c>
      <c r="K17" s="61">
        <v>0</v>
      </c>
      <c r="L17" s="61">
        <v>0</v>
      </c>
      <c r="M17" s="61">
        <v>0</v>
      </c>
      <c r="N17" s="61">
        <v>0</v>
      </c>
      <c r="O17" s="61">
        <v>0</v>
      </c>
      <c r="P17" s="61">
        <v>0</v>
      </c>
      <c r="Q17" s="61">
        <v>0</v>
      </c>
      <c r="R17" s="61">
        <v>0</v>
      </c>
      <c r="S17" s="61">
        <v>0</v>
      </c>
      <c r="T17" s="61">
        <v>0</v>
      </c>
      <c r="U17" s="61">
        <v>0</v>
      </c>
      <c r="V17" s="61">
        <v>0</v>
      </c>
      <c r="W17" s="61">
        <v>0</v>
      </c>
    </row>
    <row r="18" spans="1:23" s="63" customFormat="1" ht="24.75" customHeight="1" x14ac:dyDescent="0.2">
      <c r="A18" s="55" t="s">
        <v>9</v>
      </c>
      <c r="B18" s="56">
        <v>2</v>
      </c>
      <c r="C18" s="57" t="s">
        <v>70</v>
      </c>
      <c r="D18" s="66">
        <v>45631</v>
      </c>
      <c r="E18" s="66">
        <v>45633</v>
      </c>
      <c r="F18" s="59" t="s">
        <v>108</v>
      </c>
      <c r="G18" s="60" t="s">
        <v>64</v>
      </c>
      <c r="H18" s="67" t="s">
        <v>13</v>
      </c>
      <c r="I18" s="61">
        <v>4</v>
      </c>
      <c r="J18" s="61">
        <v>0</v>
      </c>
      <c r="K18" s="61">
        <v>1</v>
      </c>
      <c r="L18" s="61">
        <v>1</v>
      </c>
      <c r="M18" s="61">
        <v>1</v>
      </c>
      <c r="N18" s="61">
        <v>1</v>
      </c>
      <c r="O18" s="61">
        <v>0</v>
      </c>
      <c r="P18" s="61">
        <v>0</v>
      </c>
      <c r="Q18" s="61">
        <v>0</v>
      </c>
      <c r="R18" s="61">
        <v>0</v>
      </c>
      <c r="S18" s="61">
        <v>0</v>
      </c>
      <c r="T18" s="61">
        <v>0</v>
      </c>
      <c r="U18" s="61">
        <v>0</v>
      </c>
      <c r="V18" s="61">
        <v>0</v>
      </c>
      <c r="W18" s="61">
        <v>0</v>
      </c>
    </row>
    <row r="19" spans="1:23" s="63" customFormat="1" ht="28.5" customHeight="1" x14ac:dyDescent="0.2">
      <c r="A19" s="55" t="s">
        <v>14</v>
      </c>
      <c r="B19" s="56">
        <v>3</v>
      </c>
      <c r="C19" s="57" t="s">
        <v>71</v>
      </c>
      <c r="D19" s="66">
        <v>45634</v>
      </c>
      <c r="E19" s="66">
        <v>45636</v>
      </c>
      <c r="F19" s="59" t="s">
        <v>108</v>
      </c>
      <c r="G19" s="60" t="s">
        <v>64</v>
      </c>
      <c r="H19" s="67" t="s">
        <v>13</v>
      </c>
      <c r="I19" s="61">
        <v>3</v>
      </c>
      <c r="J19" s="61">
        <v>0</v>
      </c>
      <c r="K19" s="61">
        <v>0</v>
      </c>
      <c r="L19" s="61">
        <v>0</v>
      </c>
      <c r="M19" s="61">
        <v>0</v>
      </c>
      <c r="N19" s="61">
        <v>0</v>
      </c>
      <c r="O19" s="61">
        <v>2</v>
      </c>
      <c r="P19" s="61">
        <v>1</v>
      </c>
      <c r="Q19" s="61">
        <v>0</v>
      </c>
      <c r="R19" s="61">
        <v>0</v>
      </c>
      <c r="S19" s="61">
        <v>0</v>
      </c>
      <c r="T19" s="61">
        <v>0</v>
      </c>
      <c r="U19" s="61">
        <v>0</v>
      </c>
      <c r="V19" s="61">
        <v>0</v>
      </c>
      <c r="W19" s="61">
        <v>0</v>
      </c>
    </row>
    <row r="20" spans="1:23" s="63" customFormat="1" ht="36.75" customHeight="1" x14ac:dyDescent="0.2">
      <c r="A20" s="55" t="s">
        <v>19</v>
      </c>
      <c r="B20" s="56">
        <v>4</v>
      </c>
      <c r="C20" s="57" t="s">
        <v>72</v>
      </c>
      <c r="D20" s="66">
        <v>45637</v>
      </c>
      <c r="E20" s="66">
        <v>45639</v>
      </c>
      <c r="F20" s="59" t="s">
        <v>108</v>
      </c>
      <c r="G20" s="60" t="s">
        <v>64</v>
      </c>
      <c r="H20" s="67" t="s">
        <v>13</v>
      </c>
      <c r="I20" s="61">
        <v>5</v>
      </c>
      <c r="J20" s="61">
        <v>0</v>
      </c>
      <c r="K20" s="61">
        <v>0</v>
      </c>
      <c r="L20" s="61">
        <v>0</v>
      </c>
      <c r="M20" s="61">
        <v>0</v>
      </c>
      <c r="N20" s="61">
        <v>0</v>
      </c>
      <c r="O20" s="61">
        <v>0</v>
      </c>
      <c r="P20" s="61">
        <v>0</v>
      </c>
      <c r="Q20" s="62">
        <v>2</v>
      </c>
      <c r="R20" s="62">
        <v>2</v>
      </c>
      <c r="S20" s="62">
        <v>1</v>
      </c>
      <c r="T20" s="61">
        <v>0</v>
      </c>
      <c r="U20" s="61">
        <v>0</v>
      </c>
      <c r="V20" s="61">
        <v>0</v>
      </c>
      <c r="W20" s="61">
        <v>0</v>
      </c>
    </row>
    <row r="21" spans="1:23" s="65" customFormat="1" ht="33.75" customHeight="1" x14ac:dyDescent="0.2">
      <c r="A21" s="64" t="s">
        <v>73</v>
      </c>
      <c r="B21" s="64"/>
      <c r="C21" s="64"/>
      <c r="D21" s="64"/>
      <c r="E21" s="64"/>
      <c r="F21" s="64"/>
      <c r="G21" s="64"/>
      <c r="H21" s="64"/>
      <c r="I21" s="64"/>
      <c r="J21" s="64"/>
      <c r="K21" s="64"/>
      <c r="L21" s="64"/>
      <c r="M21" s="64"/>
      <c r="N21" s="64"/>
      <c r="O21" s="64"/>
      <c r="P21" s="64"/>
      <c r="Q21" s="64"/>
      <c r="R21" s="64"/>
      <c r="S21" s="64"/>
      <c r="T21" s="64"/>
      <c r="U21" s="64"/>
      <c r="V21" s="64"/>
      <c r="W21" s="64"/>
    </row>
    <row r="22" spans="1:23" s="63" customFormat="1" ht="24.75" customHeight="1" x14ac:dyDescent="0.2">
      <c r="A22" s="55" t="s">
        <v>9</v>
      </c>
      <c r="B22" s="56">
        <v>1</v>
      </c>
      <c r="C22" s="57" t="s">
        <v>74</v>
      </c>
      <c r="D22" s="66">
        <v>45641</v>
      </c>
      <c r="E22" s="66">
        <v>45643</v>
      </c>
      <c r="F22" s="59" t="s">
        <v>108</v>
      </c>
      <c r="G22" s="60" t="s">
        <v>64</v>
      </c>
      <c r="H22" s="67" t="s">
        <v>13</v>
      </c>
      <c r="I22" s="61">
        <v>3</v>
      </c>
      <c r="J22" s="61">
        <v>0</v>
      </c>
      <c r="K22" s="61">
        <v>1</v>
      </c>
      <c r="L22" s="61">
        <v>1</v>
      </c>
      <c r="M22" s="61">
        <v>1</v>
      </c>
      <c r="N22" s="61">
        <v>0</v>
      </c>
      <c r="O22" s="62">
        <v>0</v>
      </c>
      <c r="P22" s="62">
        <v>0</v>
      </c>
      <c r="Q22" s="62">
        <v>0</v>
      </c>
      <c r="R22" s="62">
        <v>0</v>
      </c>
      <c r="S22" s="62">
        <v>0</v>
      </c>
      <c r="T22" s="62">
        <v>0</v>
      </c>
      <c r="U22" s="62">
        <v>0</v>
      </c>
      <c r="V22" s="62">
        <v>0</v>
      </c>
      <c r="W22" s="62">
        <v>0</v>
      </c>
    </row>
    <row r="23" spans="1:23" s="63" customFormat="1" ht="24.75" customHeight="1" x14ac:dyDescent="0.2">
      <c r="A23" s="55" t="s">
        <v>28</v>
      </c>
      <c r="B23" s="56">
        <v>2</v>
      </c>
      <c r="C23" s="57" t="s">
        <v>75</v>
      </c>
      <c r="D23" s="66">
        <v>45644</v>
      </c>
      <c r="E23" s="66">
        <v>45645</v>
      </c>
      <c r="F23" s="59" t="s">
        <v>108</v>
      </c>
      <c r="G23" s="60" t="s">
        <v>64</v>
      </c>
      <c r="H23" s="67" t="s">
        <v>13</v>
      </c>
      <c r="I23" s="61">
        <v>2</v>
      </c>
      <c r="J23" s="61">
        <v>0</v>
      </c>
      <c r="K23" s="61">
        <v>0</v>
      </c>
      <c r="L23" s="61">
        <v>0</v>
      </c>
      <c r="M23" s="61">
        <v>2</v>
      </c>
      <c r="N23" s="61">
        <v>0</v>
      </c>
      <c r="O23" s="62">
        <v>0</v>
      </c>
      <c r="P23" s="62">
        <v>0</v>
      </c>
      <c r="Q23" s="62">
        <v>0</v>
      </c>
      <c r="R23" s="62">
        <v>0</v>
      </c>
      <c r="S23" s="62">
        <v>0</v>
      </c>
      <c r="T23" s="62">
        <v>0</v>
      </c>
      <c r="U23" s="62">
        <v>0</v>
      </c>
      <c r="V23" s="62">
        <v>0</v>
      </c>
      <c r="W23" s="62">
        <v>0</v>
      </c>
    </row>
    <row r="24" spans="1:23" s="63" customFormat="1" ht="28.5" customHeight="1" x14ac:dyDescent="0.2">
      <c r="A24" s="55" t="s">
        <v>28</v>
      </c>
      <c r="B24" s="56">
        <v>3</v>
      </c>
      <c r="C24" s="57" t="s">
        <v>76</v>
      </c>
      <c r="D24" s="66">
        <v>45646</v>
      </c>
      <c r="E24" s="66">
        <v>45650</v>
      </c>
      <c r="F24" s="59" t="s">
        <v>108</v>
      </c>
      <c r="G24" s="60" t="s">
        <v>64</v>
      </c>
      <c r="H24" s="67" t="s">
        <v>13</v>
      </c>
      <c r="I24" s="61">
        <v>3</v>
      </c>
      <c r="J24" s="61">
        <v>0</v>
      </c>
      <c r="K24" s="61">
        <v>0</v>
      </c>
      <c r="L24" s="61">
        <v>0</v>
      </c>
      <c r="M24" s="61">
        <v>0</v>
      </c>
      <c r="N24" s="61">
        <v>2</v>
      </c>
      <c r="O24" s="61">
        <v>0</v>
      </c>
      <c r="P24" s="61">
        <v>1</v>
      </c>
      <c r="Q24" s="62">
        <v>0</v>
      </c>
      <c r="R24" s="62">
        <v>0</v>
      </c>
      <c r="S24" s="62">
        <v>0</v>
      </c>
      <c r="T24" s="62">
        <v>0</v>
      </c>
      <c r="U24" s="62">
        <v>0</v>
      </c>
      <c r="V24" s="62">
        <v>0</v>
      </c>
      <c r="W24" s="62">
        <v>0</v>
      </c>
    </row>
    <row r="25" spans="1:23" s="63" customFormat="1" ht="36.75" customHeight="1" x14ac:dyDescent="0.2">
      <c r="A25" s="55" t="s">
        <v>31</v>
      </c>
      <c r="B25" s="56">
        <v>4</v>
      </c>
      <c r="C25" s="57" t="s">
        <v>77</v>
      </c>
      <c r="D25" s="66">
        <v>45652</v>
      </c>
      <c r="E25" s="60">
        <v>45656</v>
      </c>
      <c r="F25" s="59" t="s">
        <v>108</v>
      </c>
      <c r="G25" s="60" t="s">
        <v>64</v>
      </c>
      <c r="H25" s="67" t="s">
        <v>13</v>
      </c>
      <c r="I25" s="61">
        <v>2</v>
      </c>
      <c r="J25" s="61">
        <v>0</v>
      </c>
      <c r="K25" s="61">
        <v>0</v>
      </c>
      <c r="L25" s="61">
        <v>0</v>
      </c>
      <c r="M25" s="61">
        <v>0</v>
      </c>
      <c r="N25" s="61">
        <v>0</v>
      </c>
      <c r="O25" s="61">
        <v>0</v>
      </c>
      <c r="P25" s="61">
        <v>0</v>
      </c>
      <c r="Q25" s="62">
        <v>1</v>
      </c>
      <c r="R25" s="62">
        <v>0</v>
      </c>
      <c r="S25" s="62">
        <v>1</v>
      </c>
      <c r="T25" s="62">
        <v>0</v>
      </c>
      <c r="U25" s="62">
        <v>0</v>
      </c>
      <c r="V25" s="62">
        <v>0</v>
      </c>
      <c r="W25" s="62">
        <v>0</v>
      </c>
    </row>
    <row r="26" spans="1:23" ht="24" customHeight="1" x14ac:dyDescent="0.2">
      <c r="A26" s="12"/>
      <c r="B26" s="13"/>
      <c r="C26" s="68"/>
      <c r="D26" s="15"/>
      <c r="E26" s="15"/>
      <c r="F26" s="14"/>
      <c r="G26" s="14"/>
      <c r="H26" s="15"/>
      <c r="I26" s="16"/>
      <c r="J26" s="16"/>
      <c r="K26" s="16"/>
      <c r="L26" s="16"/>
    </row>
    <row r="28" spans="1:23" ht="53.25" customHeight="1" x14ac:dyDescent="0.2"/>
    <row r="29" spans="1:23" ht="42" customHeight="1" x14ac:dyDescent="0.2"/>
    <row r="30" spans="1:23" ht="42" customHeight="1" x14ac:dyDescent="0.2"/>
    <row r="31" spans="1:23" ht="21.75" customHeight="1" x14ac:dyDescent="0.2"/>
    <row r="32" spans="1:23" ht="18.75" customHeight="1" x14ac:dyDescent="0.2"/>
    <row r="33" ht="21.75" customHeight="1" x14ac:dyDescent="0.2"/>
    <row r="34" ht="18.75" customHeight="1" x14ac:dyDescent="0.2"/>
    <row r="35" ht="18" customHeight="1" x14ac:dyDescent="0.2"/>
    <row r="36" ht="21" customHeight="1" x14ac:dyDescent="0.2"/>
    <row r="37" ht="16.5" customHeight="1" x14ac:dyDescent="0.2"/>
    <row r="38" ht="19.5" customHeight="1" x14ac:dyDescent="0.2"/>
    <row r="39" ht="19.5" customHeight="1" x14ac:dyDescent="0.2"/>
    <row r="40" ht="18.75" customHeight="1" x14ac:dyDescent="0.2"/>
    <row r="41" ht="11.25" customHeight="1" x14ac:dyDescent="0.2"/>
    <row r="42" ht="11.25" customHeight="1" x14ac:dyDescent="0.2"/>
    <row r="59" ht="17.25" customHeight="1" x14ac:dyDescent="0.2"/>
    <row r="60" ht="21" customHeight="1" x14ac:dyDescent="0.2"/>
    <row r="61" ht="21" customHeight="1" x14ac:dyDescent="0.2"/>
    <row r="62" ht="22.5" customHeight="1" x14ac:dyDescent="0.2"/>
  </sheetData>
  <sheetProtection password="E403" sheet="1" objects="1" scenarios="1" formatCells="0" formatRows="0" insertRows="0" deleteRows="0"/>
  <dataConsolidate/>
  <mergeCells count="12">
    <mergeCell ref="A10:W10"/>
    <mergeCell ref="A16:W16"/>
    <mergeCell ref="A21:W21"/>
    <mergeCell ref="D2:D3"/>
    <mergeCell ref="C2:C3"/>
    <mergeCell ref="B2:B3"/>
    <mergeCell ref="A2:A3"/>
    <mergeCell ref="A4:W4"/>
    <mergeCell ref="H2:H3"/>
    <mergeCell ref="G2:G3"/>
    <mergeCell ref="F2:F3"/>
    <mergeCell ref="E2:E3"/>
  </mergeCells>
  <dataValidations count="8">
    <dataValidation type="list" allowBlank="1" showInputMessage="1" showErrorMessage="1" sqref="F63:F65492">
      <formula1>Team</formula1>
    </dataValidation>
    <dataValidation type="list" allowBlank="1" showInputMessage="1" showErrorMessage="1" sqref="G63:G65492">
      <formula1>Category</formula1>
    </dataValidation>
    <dataValidation type="list" allowBlank="1" showInputMessage="1" showErrorMessage="1" sqref="G26">
      <formula1>"Build, Unit Test, System Test, Coding, General , Integration"</formula1>
    </dataValidation>
    <dataValidation type="list" allowBlank="1" showInputMessage="1" showErrorMessage="1" sqref="H63:H65492 H26">
      <formula1>Status</formula1>
    </dataValidation>
    <dataValidation type="decimal" operator="lessThanOrEqual" allowBlank="1" showInputMessage="1" showErrorMessage="1" sqref="J26:L26 J5:W9 R10:W25 J12:Q25">
      <formula1>I5</formula1>
    </dataValidation>
    <dataValidation type="decimal" allowBlank="1" showInputMessage="1" showErrorMessage="1" sqref="I5:I9 I12:I25">
      <formula1>0</formula1>
      <formula2>12</formula2>
    </dataValidation>
    <dataValidation type="list" allowBlank="1" showInputMessage="1" showErrorMessage="1" sqref="H5:H25">
      <formula1>"1- Not Started, 2- In Progress, 3- Completed"</formula1>
    </dataValidation>
    <dataValidation type="list" allowBlank="1" showInputMessage="1" showErrorMessage="1" sqref="G5:G25">
      <formula1>"Build, Coding, Design, Integration Test, Regression Test, System Test, Unit Test, Others"</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6"/>
  <sheetViews>
    <sheetView workbookViewId="0">
      <pane ySplit="1" topLeftCell="A2" activePane="bottomLeft" state="frozen"/>
      <selection pane="bottomLeft" activeCell="D5" sqref="D5"/>
    </sheetView>
  </sheetViews>
  <sheetFormatPr defaultRowHeight="12.75" x14ac:dyDescent="0.2"/>
  <cols>
    <col min="3" max="3" width="41.5703125" customWidth="1"/>
    <col min="4" max="4" width="85.42578125" customWidth="1"/>
    <col min="5" max="5" width="33.42578125" customWidth="1"/>
  </cols>
  <sheetData>
    <row r="1" spans="1:7" ht="49.5" customHeight="1" x14ac:dyDescent="0.2">
      <c r="A1" s="22" t="s">
        <v>78</v>
      </c>
      <c r="B1" s="22" t="s">
        <v>79</v>
      </c>
      <c r="C1" s="22" t="s">
        <v>80</v>
      </c>
      <c r="D1" s="22" t="s">
        <v>81</v>
      </c>
      <c r="E1" s="8"/>
      <c r="F1" s="8"/>
      <c r="G1" s="8"/>
    </row>
    <row r="2" spans="1:7" x14ac:dyDescent="0.2">
      <c r="A2" s="9" t="s">
        <v>18</v>
      </c>
      <c r="B2" s="9" t="s">
        <v>115</v>
      </c>
      <c r="C2" s="9" t="s">
        <v>82</v>
      </c>
      <c r="D2" s="71" t="s">
        <v>124</v>
      </c>
    </row>
    <row r="3" spans="1:7" x14ac:dyDescent="0.2">
      <c r="A3" s="9" t="s">
        <v>18</v>
      </c>
      <c r="B3" s="9" t="s">
        <v>116</v>
      </c>
      <c r="C3" s="9" t="s">
        <v>83</v>
      </c>
      <c r="D3" s="71" t="s">
        <v>125</v>
      </c>
    </row>
    <row r="4" spans="1:7" x14ac:dyDescent="0.2">
      <c r="A4" s="9" t="s">
        <v>23</v>
      </c>
      <c r="B4" s="9" t="s">
        <v>84</v>
      </c>
      <c r="C4" s="9" t="s">
        <v>85</v>
      </c>
      <c r="D4" s="71" t="s">
        <v>126</v>
      </c>
    </row>
    <row r="5" spans="1:7" x14ac:dyDescent="0.2">
      <c r="A5" s="9" t="s">
        <v>27</v>
      </c>
      <c r="B5" s="9" t="s">
        <v>86</v>
      </c>
      <c r="C5" s="9" t="s">
        <v>87</v>
      </c>
      <c r="D5" s="9" t="s">
        <v>88</v>
      </c>
    </row>
    <row r="6" spans="1:7" x14ac:dyDescent="0.2">
      <c r="A6" s="9"/>
      <c r="B6" s="9"/>
      <c r="C6" s="9"/>
      <c r="D6" s="9"/>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9"/>
  <sheetViews>
    <sheetView showGridLines="0" tabSelected="1" topLeftCell="H1" workbookViewId="0">
      <selection activeCell="H6" sqref="H6"/>
    </sheetView>
  </sheetViews>
  <sheetFormatPr defaultRowHeight="12.75" x14ac:dyDescent="0.2"/>
  <cols>
    <col min="1" max="1" width="6.85546875" style="1" customWidth="1"/>
    <col min="2" max="4" width="12.28515625" style="3" customWidth="1"/>
    <col min="5" max="5" width="20.28515625" style="1" customWidth="1"/>
    <col min="6" max="6" width="73.140625" style="3" customWidth="1"/>
    <col min="7" max="7" width="39.140625" style="4" bestFit="1" customWidth="1"/>
    <col min="8" max="8" width="75.85546875" style="1" bestFit="1" customWidth="1"/>
    <col min="9" max="9" width="83.140625" style="1" bestFit="1" customWidth="1"/>
    <col min="10" max="10" width="9.140625" style="1" customWidth="1"/>
    <col min="11" max="16384" width="9.140625" style="1"/>
  </cols>
  <sheetData>
    <row r="1" spans="1:9" s="2" customFormat="1" ht="45.75" customHeight="1" x14ac:dyDescent="0.2">
      <c r="A1" s="23" t="s">
        <v>89</v>
      </c>
      <c r="B1" s="23" t="s">
        <v>90</v>
      </c>
      <c r="C1" s="23" t="s">
        <v>91</v>
      </c>
      <c r="D1" s="23" t="s">
        <v>92</v>
      </c>
      <c r="E1" s="23" t="s">
        <v>93</v>
      </c>
      <c r="F1" s="23" t="s">
        <v>94</v>
      </c>
      <c r="G1" s="23" t="s">
        <v>95</v>
      </c>
      <c r="H1" s="23" t="s">
        <v>96</v>
      </c>
      <c r="I1" s="23" t="s">
        <v>97</v>
      </c>
    </row>
    <row r="2" spans="1:9" s="6" customFormat="1" x14ac:dyDescent="0.2">
      <c r="A2" s="5">
        <v>1</v>
      </c>
      <c r="B2" s="5" t="s">
        <v>8</v>
      </c>
      <c r="C2" s="30">
        <v>45600</v>
      </c>
      <c r="D2" s="30">
        <v>45603</v>
      </c>
      <c r="E2" s="72" t="s">
        <v>108</v>
      </c>
      <c r="F2" s="51" t="s">
        <v>127</v>
      </c>
      <c r="G2" s="51" t="s">
        <v>98</v>
      </c>
      <c r="H2" s="7" t="s">
        <v>137</v>
      </c>
      <c r="I2" s="7" t="s">
        <v>145</v>
      </c>
    </row>
    <row r="3" spans="1:9" s="6" customFormat="1" x14ac:dyDescent="0.2">
      <c r="A3" s="5">
        <v>2</v>
      </c>
      <c r="B3" s="5" t="s">
        <v>8</v>
      </c>
      <c r="C3" s="30">
        <v>45606</v>
      </c>
      <c r="D3" s="30">
        <v>45609</v>
      </c>
      <c r="E3" s="73" t="s">
        <v>108</v>
      </c>
      <c r="F3" s="51" t="s">
        <v>128</v>
      </c>
      <c r="G3" s="51" t="s">
        <v>98</v>
      </c>
      <c r="H3" s="7" t="s">
        <v>138</v>
      </c>
      <c r="I3" s="7" t="s">
        <v>146</v>
      </c>
    </row>
    <row r="4" spans="1:9" s="6" customFormat="1" x14ac:dyDescent="0.2">
      <c r="A4" s="5">
        <v>3</v>
      </c>
      <c r="B4" s="5" t="s">
        <v>18</v>
      </c>
      <c r="C4" s="30">
        <v>45612</v>
      </c>
      <c r="D4" s="30">
        <v>45614</v>
      </c>
      <c r="E4" s="74" t="s">
        <v>108</v>
      </c>
      <c r="F4" s="51" t="s">
        <v>129</v>
      </c>
      <c r="G4" s="51" t="s">
        <v>99</v>
      </c>
      <c r="H4" s="7" t="s">
        <v>139</v>
      </c>
      <c r="I4" s="7" t="s">
        <v>100</v>
      </c>
    </row>
    <row r="5" spans="1:9" s="6" customFormat="1" x14ac:dyDescent="0.2">
      <c r="A5" s="5">
        <v>4</v>
      </c>
      <c r="B5" s="5" t="s">
        <v>18</v>
      </c>
      <c r="C5" s="30">
        <v>45616</v>
      </c>
      <c r="D5" s="30">
        <v>45620</v>
      </c>
      <c r="E5" s="74" t="s">
        <v>108</v>
      </c>
      <c r="F5" s="51" t="s">
        <v>130</v>
      </c>
      <c r="G5" s="51" t="s">
        <v>101</v>
      </c>
      <c r="H5" s="7" t="s">
        <v>140</v>
      </c>
      <c r="I5" s="7" t="s">
        <v>102</v>
      </c>
    </row>
    <row r="6" spans="1:9" s="6" customFormat="1" x14ac:dyDescent="0.2">
      <c r="A6" s="5">
        <v>5</v>
      </c>
      <c r="B6" s="5" t="s">
        <v>23</v>
      </c>
      <c r="C6" s="30">
        <v>45624</v>
      </c>
      <c r="D6" s="30">
        <v>45626</v>
      </c>
      <c r="E6" s="74" t="s">
        <v>108</v>
      </c>
      <c r="F6" s="51" t="s">
        <v>131</v>
      </c>
      <c r="G6" s="51" t="s">
        <v>101</v>
      </c>
      <c r="H6" s="7" t="s">
        <v>141</v>
      </c>
      <c r="I6" s="7" t="s">
        <v>103</v>
      </c>
    </row>
    <row r="7" spans="1:9" s="6" customFormat="1" x14ac:dyDescent="0.2">
      <c r="A7" s="5">
        <v>6</v>
      </c>
      <c r="B7" s="5" t="s">
        <v>23</v>
      </c>
      <c r="C7" s="30">
        <v>45630</v>
      </c>
      <c r="D7" s="30">
        <v>45633</v>
      </c>
      <c r="E7" s="74" t="s">
        <v>108</v>
      </c>
      <c r="F7" s="51" t="s">
        <v>132</v>
      </c>
      <c r="G7" s="51" t="s">
        <v>104</v>
      </c>
      <c r="H7" s="7" t="s">
        <v>142</v>
      </c>
      <c r="I7" s="7" t="s">
        <v>105</v>
      </c>
    </row>
    <row r="8" spans="1:9" s="6" customFormat="1" x14ac:dyDescent="0.2">
      <c r="A8" s="5">
        <v>7</v>
      </c>
      <c r="B8" s="5" t="s">
        <v>27</v>
      </c>
      <c r="C8" s="30">
        <v>45635</v>
      </c>
      <c r="D8" s="30">
        <v>45642</v>
      </c>
      <c r="E8" s="74" t="s">
        <v>108</v>
      </c>
      <c r="F8" s="51" t="s">
        <v>133</v>
      </c>
      <c r="G8" s="51" t="s">
        <v>136</v>
      </c>
      <c r="H8" s="7" t="s">
        <v>143</v>
      </c>
      <c r="I8" s="7" t="s">
        <v>106</v>
      </c>
    </row>
    <row r="9" spans="1:9" x14ac:dyDescent="0.2">
      <c r="A9" s="5">
        <v>8</v>
      </c>
      <c r="B9" s="5" t="s">
        <v>27</v>
      </c>
      <c r="C9" s="30">
        <v>45646</v>
      </c>
      <c r="D9" s="30">
        <v>45660</v>
      </c>
      <c r="E9" s="74" t="s">
        <v>108</v>
      </c>
      <c r="F9" s="51" t="s">
        <v>134</v>
      </c>
      <c r="G9" s="51" t="s">
        <v>135</v>
      </c>
      <c r="H9" s="7" t="s">
        <v>144</v>
      </c>
      <c r="I9" s="7" t="s">
        <v>107</v>
      </c>
    </row>
  </sheetData>
  <pageMargins left="0.7" right="0.7" top="0.75" bottom="0.75" header="0.3" footer="0.3"/>
  <pageSetup orientation="portrait" horizontalDpi="4294967292"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file>

<file path=customXml/itemProps1.xml><?xml version="1.0" encoding="utf-8"?>
<ds:datastoreItem xmlns:ds="http://schemas.openxmlformats.org/officeDocument/2006/customXml" ds:itemID="{70CF7EF0-982B-4AD0-BBEC-EE46AE901B4A}">
  <ds:schemaRefs>
    <ds:schemaRef ds:uri="http://schemas.microsoft.com/sharepoint/v3/contenttype/forms"/>
  </ds:schemaRefs>
</ds:datastoreItem>
</file>

<file path=customXml/itemProps2.xml><?xml version="1.0" encoding="utf-8"?>
<ds:datastoreItem xmlns:ds="http://schemas.openxmlformats.org/officeDocument/2006/customXml" ds:itemID="{05F2658D-0A1D-482D-8A15-ACBD3F9F55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67b99c0-208c-4860-83e0-51466af787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3F37AD2-F175-417F-8B4C-43FA547649D7}">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Manager/>
  <Company>Infosys (ETA)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subject/>
  <dc:creator>Sumeet_Kumar08@infosys.com</dc:creator>
  <cp:keywords>Agile, Scrum</cp:keywords>
  <dc:description>Sprint Backlog</dc:description>
  <cp:lastModifiedBy>dell</cp:lastModifiedBy>
  <cp:revision/>
  <dcterms:created xsi:type="dcterms:W3CDTF">1996-10-14T23:33:28Z</dcterms:created>
  <dcterms:modified xsi:type="dcterms:W3CDTF">2025-01-06T05:27:25Z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